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ananshgarg/Downloads/"/>
    </mc:Choice>
  </mc:AlternateContent>
  <xr:revisionPtr revIDLastSave="0" documentId="13_ncr:1_{BDF313A3-AC55-E14C-A376-CD81B6A0F267}" xr6:coauthVersionLast="47" xr6:coauthVersionMax="47" xr10:uidLastSave="{00000000-0000-0000-0000-000000000000}"/>
  <bookViews>
    <workbookView xWindow="0" yWindow="760" windowWidth="30240" windowHeight="17700" tabRatio="500" xr2:uid="{00000000-000D-0000-FFFF-FFFF00000000}"/>
  </bookViews>
  <sheets>
    <sheet name="Drivers" sheetId="1" r:id="rId1"/>
    <sheet name="Model" sheetId="2" r:id="rId2"/>
    <sheet name="Sources &amp; Uses" sheetId="3" r:id="rId3"/>
    <sheet name="vF" sheetId="4" state="hidden" r:id="rId4"/>
    <sheet name="vF (2)" sheetId="5" state="hidden" r:id="rId5"/>
    <sheet name="Backup" sheetId="6" state="hidden" r:id="rId6"/>
    <sheet name="vFixed" sheetId="7" state="hidden" r:id="rId7"/>
    <sheet name="vF with M&amp;A and Prepayment (2)" sheetId="8" state="hidden" r:id="rId8"/>
    <sheet name="vF with M&amp;A and Prepayment" sheetId="9" state="hidden" r:id="rId9"/>
    <sheet name="v3" sheetId="10" state="hidden" r:id="rId10"/>
    <sheet name="Sheet1" sheetId="11" state="hidden" r:id="rId11"/>
    <sheet name="v2" sheetId="12" state="hidden" r:id="rId12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8" i="3" l="1"/>
  <c r="F176" i="12"/>
  <c r="F172" i="12"/>
  <c r="F171" i="12"/>
  <c r="F170" i="12"/>
  <c r="E170" i="12"/>
  <c r="F162" i="12"/>
  <c r="C160" i="12"/>
  <c r="C159" i="12"/>
  <c r="F156" i="12"/>
  <c r="G152" i="12"/>
  <c r="G146" i="12"/>
  <c r="F143" i="12"/>
  <c r="C143" i="12"/>
  <c r="G142" i="12"/>
  <c r="C142" i="12"/>
  <c r="K138" i="12"/>
  <c r="J138" i="12"/>
  <c r="I138" i="12"/>
  <c r="H138" i="12"/>
  <c r="G138" i="12"/>
  <c r="F138" i="12"/>
  <c r="K137" i="12"/>
  <c r="J137" i="12"/>
  <c r="I137" i="12"/>
  <c r="H137" i="12"/>
  <c r="G137" i="12"/>
  <c r="F137" i="12"/>
  <c r="F135" i="12"/>
  <c r="G130" i="12"/>
  <c r="F125" i="12"/>
  <c r="F124" i="12" s="1"/>
  <c r="F130" i="12" s="1"/>
  <c r="G122" i="12"/>
  <c r="F122" i="12"/>
  <c r="C120" i="12"/>
  <c r="C119" i="12"/>
  <c r="H103" i="12"/>
  <c r="G103" i="12"/>
  <c r="K100" i="12"/>
  <c r="J100" i="12"/>
  <c r="I100" i="12"/>
  <c r="H100" i="12"/>
  <c r="G100" i="12"/>
  <c r="C96" i="12"/>
  <c r="C95" i="12"/>
  <c r="F89" i="12"/>
  <c r="E89" i="12"/>
  <c r="K87" i="12"/>
  <c r="J87" i="12"/>
  <c r="I87" i="12"/>
  <c r="H87" i="12"/>
  <c r="G87" i="12"/>
  <c r="H85" i="12"/>
  <c r="G85" i="12"/>
  <c r="K83" i="12"/>
  <c r="J83" i="12"/>
  <c r="I83" i="12"/>
  <c r="H83" i="12"/>
  <c r="G83" i="12"/>
  <c r="G79" i="12"/>
  <c r="K78" i="12"/>
  <c r="G78" i="12"/>
  <c r="H78" i="12" s="1"/>
  <c r="I78" i="12" s="1"/>
  <c r="J78" i="12" s="1"/>
  <c r="H77" i="12"/>
  <c r="I77" i="12" s="1"/>
  <c r="J77" i="12" s="1"/>
  <c r="K77" i="12" s="1"/>
  <c r="G77" i="12"/>
  <c r="H76" i="12"/>
  <c r="I76" i="12" s="1"/>
  <c r="J76" i="12" s="1"/>
  <c r="K76" i="12" s="1"/>
  <c r="G76" i="12"/>
  <c r="G75" i="12"/>
  <c r="F74" i="12"/>
  <c r="F80" i="12" s="1"/>
  <c r="F90" i="12" s="1"/>
  <c r="E74" i="12"/>
  <c r="E80" i="12" s="1"/>
  <c r="G73" i="12"/>
  <c r="H73" i="12" s="1"/>
  <c r="G72" i="12"/>
  <c r="H72" i="12" s="1"/>
  <c r="I72" i="12" s="1"/>
  <c r="J72" i="12" s="1"/>
  <c r="K72" i="12" s="1"/>
  <c r="H71" i="12"/>
  <c r="I71" i="12" s="1"/>
  <c r="J71" i="12" s="1"/>
  <c r="K71" i="12" s="1"/>
  <c r="G71" i="12"/>
  <c r="K70" i="12"/>
  <c r="H70" i="12"/>
  <c r="I70" i="12" s="1"/>
  <c r="J70" i="12" s="1"/>
  <c r="G70" i="12"/>
  <c r="J69" i="12"/>
  <c r="K69" i="12" s="1"/>
  <c r="H69" i="12"/>
  <c r="I69" i="12" s="1"/>
  <c r="G69" i="12"/>
  <c r="G68" i="12"/>
  <c r="H68" i="12" s="1"/>
  <c r="I68" i="12" s="1"/>
  <c r="J68" i="12" s="1"/>
  <c r="K68" i="12" s="1"/>
  <c r="G67" i="12"/>
  <c r="H67" i="12" s="1"/>
  <c r="I67" i="12" s="1"/>
  <c r="J67" i="12" s="1"/>
  <c r="K67" i="12" s="1"/>
  <c r="F63" i="12"/>
  <c r="F92" i="12" s="1"/>
  <c r="H62" i="12"/>
  <c r="I62" i="12" s="1"/>
  <c r="G62" i="12"/>
  <c r="J61" i="12"/>
  <c r="K61" i="12" s="1"/>
  <c r="H61" i="12"/>
  <c r="I61" i="12" s="1"/>
  <c r="G61" i="12"/>
  <c r="G60" i="12"/>
  <c r="H60" i="12" s="1"/>
  <c r="I60" i="12" s="1"/>
  <c r="J60" i="12" s="1"/>
  <c r="K60" i="12" s="1"/>
  <c r="G59" i="12"/>
  <c r="G58" i="12"/>
  <c r="G57" i="12"/>
  <c r="H57" i="12" s="1"/>
  <c r="I57" i="12" s="1"/>
  <c r="J57" i="12" s="1"/>
  <c r="K57" i="12" s="1"/>
  <c r="F55" i="12"/>
  <c r="E55" i="12"/>
  <c r="E63" i="12" s="1"/>
  <c r="G54" i="12"/>
  <c r="H54" i="12" s="1"/>
  <c r="I54" i="12" s="1"/>
  <c r="J54" i="12" s="1"/>
  <c r="K54" i="12" s="1"/>
  <c r="G53" i="12"/>
  <c r="H53" i="12" s="1"/>
  <c r="I53" i="12" s="1"/>
  <c r="J53" i="12" s="1"/>
  <c r="K53" i="12" s="1"/>
  <c r="G51" i="12"/>
  <c r="H51" i="12" s="1"/>
  <c r="I51" i="12" s="1"/>
  <c r="J51" i="12" s="1"/>
  <c r="K51" i="12" s="1"/>
  <c r="G50" i="12"/>
  <c r="H50" i="12" s="1"/>
  <c r="F46" i="12"/>
  <c r="E46" i="12"/>
  <c r="C46" i="12"/>
  <c r="G45" i="12"/>
  <c r="F45" i="12"/>
  <c r="D45" i="12"/>
  <c r="C45" i="12"/>
  <c r="F41" i="12"/>
  <c r="E41" i="12"/>
  <c r="D41" i="12"/>
  <c r="F40" i="12"/>
  <c r="D40" i="12"/>
  <c r="F39" i="12"/>
  <c r="E39" i="12"/>
  <c r="D29" i="12"/>
  <c r="J27" i="12"/>
  <c r="K27" i="12" s="1"/>
  <c r="G27" i="12"/>
  <c r="H27" i="12" s="1"/>
  <c r="I27" i="12" s="1"/>
  <c r="G26" i="12"/>
  <c r="H26" i="12" s="1"/>
  <c r="I26" i="12" s="1"/>
  <c r="J26" i="12" s="1"/>
  <c r="K26" i="12" s="1"/>
  <c r="F23" i="12"/>
  <c r="D23" i="12"/>
  <c r="D34" i="12" s="1"/>
  <c r="D36" i="12" s="1"/>
  <c r="H22" i="12"/>
  <c r="I22" i="12" s="1"/>
  <c r="J22" i="12" s="1"/>
  <c r="K22" i="12" s="1"/>
  <c r="G22" i="12"/>
  <c r="K20" i="12"/>
  <c r="K130" i="12" s="1"/>
  <c r="J20" i="12"/>
  <c r="J130" i="12" s="1"/>
  <c r="I20" i="12"/>
  <c r="I130" i="12" s="1"/>
  <c r="H20" i="12"/>
  <c r="H130" i="12" s="1"/>
  <c r="G20" i="12"/>
  <c r="F19" i="12"/>
  <c r="E19" i="12"/>
  <c r="D19" i="12"/>
  <c r="G17" i="12"/>
  <c r="G15" i="12"/>
  <c r="F15" i="12"/>
  <c r="F160" i="12" s="1"/>
  <c r="E15" i="12"/>
  <c r="E143" i="12" s="1"/>
  <c r="D15" i="12"/>
  <c r="G14" i="12"/>
  <c r="F14" i="12"/>
  <c r="F142" i="12" s="1"/>
  <c r="E14" i="12"/>
  <c r="D14" i="12"/>
  <c r="C2" i="12"/>
  <c r="C166" i="11"/>
  <c r="F165" i="11"/>
  <c r="C165" i="11"/>
  <c r="G152" i="11"/>
  <c r="C149" i="11"/>
  <c r="C148" i="11"/>
  <c r="J136" i="11"/>
  <c r="H136" i="11"/>
  <c r="G136" i="11"/>
  <c r="G135" i="11"/>
  <c r="K130" i="11"/>
  <c r="J130" i="11"/>
  <c r="I130" i="11"/>
  <c r="H130" i="11"/>
  <c r="G130" i="11"/>
  <c r="F125" i="11"/>
  <c r="G122" i="11"/>
  <c r="F122" i="11"/>
  <c r="F124" i="11" s="1"/>
  <c r="C120" i="11"/>
  <c r="C119" i="11"/>
  <c r="K113" i="11"/>
  <c r="J113" i="11"/>
  <c r="I113" i="11"/>
  <c r="H113" i="11"/>
  <c r="G113" i="11"/>
  <c r="K112" i="11"/>
  <c r="J112" i="11"/>
  <c r="I112" i="11"/>
  <c r="H112" i="11"/>
  <c r="G112" i="11"/>
  <c r="K108" i="11"/>
  <c r="I108" i="11"/>
  <c r="H108" i="11"/>
  <c r="G108" i="11"/>
  <c r="K107" i="11"/>
  <c r="J107" i="11"/>
  <c r="J108" i="11" s="1"/>
  <c r="I107" i="11"/>
  <c r="H107" i="11"/>
  <c r="G107" i="11"/>
  <c r="G104" i="11"/>
  <c r="G103" i="11"/>
  <c r="K100" i="11"/>
  <c r="J100" i="11"/>
  <c r="I100" i="11"/>
  <c r="H100" i="11"/>
  <c r="G100" i="11"/>
  <c r="C96" i="11"/>
  <c r="C95" i="11"/>
  <c r="E90" i="11"/>
  <c r="E92" i="11" s="1"/>
  <c r="F89" i="11"/>
  <c r="F90" i="11" s="1"/>
  <c r="E89" i="11"/>
  <c r="E87" i="11"/>
  <c r="E86" i="11"/>
  <c r="G83" i="11"/>
  <c r="H83" i="11" s="1"/>
  <c r="I83" i="11" s="1"/>
  <c r="J83" i="11" s="1"/>
  <c r="K83" i="11" s="1"/>
  <c r="E80" i="11"/>
  <c r="H79" i="11"/>
  <c r="G79" i="11"/>
  <c r="G78" i="11"/>
  <c r="H78" i="11" s="1"/>
  <c r="I78" i="11" s="1"/>
  <c r="J78" i="11" s="1"/>
  <c r="K78" i="11" s="1"/>
  <c r="K77" i="11"/>
  <c r="I77" i="11"/>
  <c r="J77" i="11" s="1"/>
  <c r="H77" i="11"/>
  <c r="G77" i="11"/>
  <c r="H76" i="11"/>
  <c r="I76" i="11" s="1"/>
  <c r="J76" i="11" s="1"/>
  <c r="K76" i="11" s="1"/>
  <c r="G76" i="11"/>
  <c r="G75" i="11"/>
  <c r="H75" i="11" s="1"/>
  <c r="I75" i="11" s="1"/>
  <c r="F74" i="11"/>
  <c r="F80" i="11" s="1"/>
  <c r="E74" i="11"/>
  <c r="I73" i="11"/>
  <c r="H73" i="11"/>
  <c r="H110" i="11" s="1"/>
  <c r="G73" i="11"/>
  <c r="G72" i="11"/>
  <c r="H72" i="11" s="1"/>
  <c r="I72" i="11" s="1"/>
  <c r="J72" i="11" s="1"/>
  <c r="K72" i="11" s="1"/>
  <c r="I71" i="11"/>
  <c r="J71" i="11" s="1"/>
  <c r="K71" i="11" s="1"/>
  <c r="H71" i="11"/>
  <c r="G71" i="11"/>
  <c r="G70" i="11"/>
  <c r="H70" i="11" s="1"/>
  <c r="I70" i="11" s="1"/>
  <c r="J70" i="11" s="1"/>
  <c r="K70" i="11" s="1"/>
  <c r="K69" i="11"/>
  <c r="H69" i="11"/>
  <c r="I69" i="11" s="1"/>
  <c r="J69" i="11" s="1"/>
  <c r="G69" i="11"/>
  <c r="G68" i="11"/>
  <c r="H68" i="11" s="1"/>
  <c r="I68" i="11" s="1"/>
  <c r="J68" i="11" s="1"/>
  <c r="K68" i="11" s="1"/>
  <c r="G67" i="11"/>
  <c r="H67" i="11" s="1"/>
  <c r="I67" i="11" s="1"/>
  <c r="J67" i="11" s="1"/>
  <c r="K67" i="11" s="1"/>
  <c r="H62" i="11"/>
  <c r="G62" i="11"/>
  <c r="H135" i="11" s="1"/>
  <c r="G61" i="11"/>
  <c r="H61" i="11" s="1"/>
  <c r="I61" i="11" s="1"/>
  <c r="J61" i="11" s="1"/>
  <c r="K61" i="11" s="1"/>
  <c r="I60" i="11"/>
  <c r="J60" i="11" s="1"/>
  <c r="K60" i="11" s="1"/>
  <c r="G60" i="11"/>
  <c r="H60" i="11" s="1"/>
  <c r="H59" i="11"/>
  <c r="I59" i="11" s="1"/>
  <c r="J59" i="11" s="1"/>
  <c r="K59" i="11" s="1"/>
  <c r="G59" i="11"/>
  <c r="G58" i="11"/>
  <c r="H58" i="11" s="1"/>
  <c r="I58" i="11" s="1"/>
  <c r="J58" i="11" s="1"/>
  <c r="K58" i="11" s="1"/>
  <c r="I57" i="11"/>
  <c r="J57" i="11" s="1"/>
  <c r="K57" i="11" s="1"/>
  <c r="H57" i="11"/>
  <c r="G57" i="11"/>
  <c r="F55" i="11"/>
  <c r="F63" i="11" s="1"/>
  <c r="F92" i="11" s="1"/>
  <c r="E55" i="11"/>
  <c r="E63" i="11" s="1"/>
  <c r="H54" i="11"/>
  <c r="I54" i="11" s="1"/>
  <c r="J54" i="11" s="1"/>
  <c r="K54" i="11" s="1"/>
  <c r="G54" i="11"/>
  <c r="I53" i="11"/>
  <c r="J53" i="11" s="1"/>
  <c r="K53" i="11" s="1"/>
  <c r="G53" i="11"/>
  <c r="H53" i="11" s="1"/>
  <c r="G51" i="11"/>
  <c r="H51" i="11" s="1"/>
  <c r="I51" i="11" s="1"/>
  <c r="J51" i="11" s="1"/>
  <c r="K51" i="11" s="1"/>
  <c r="I50" i="11"/>
  <c r="H50" i="11"/>
  <c r="G50" i="11"/>
  <c r="C46" i="11"/>
  <c r="C45" i="11"/>
  <c r="F41" i="11"/>
  <c r="E41" i="11"/>
  <c r="D41" i="11"/>
  <c r="F40" i="11"/>
  <c r="F39" i="11"/>
  <c r="E39" i="11"/>
  <c r="E30" i="11"/>
  <c r="H27" i="11"/>
  <c r="I27" i="11" s="1"/>
  <c r="J27" i="11" s="1"/>
  <c r="K27" i="11" s="1"/>
  <c r="G27" i="11"/>
  <c r="H26" i="11"/>
  <c r="I26" i="11" s="1"/>
  <c r="J26" i="11" s="1"/>
  <c r="K26" i="11" s="1"/>
  <c r="G26" i="11"/>
  <c r="F23" i="11"/>
  <c r="F34" i="11" s="1"/>
  <c r="F36" i="11" s="1"/>
  <c r="E23" i="11"/>
  <c r="E34" i="11" s="1"/>
  <c r="E36" i="11" s="1"/>
  <c r="G22" i="11"/>
  <c r="H22" i="11" s="1"/>
  <c r="I22" i="11" s="1"/>
  <c r="J22" i="11" s="1"/>
  <c r="K22" i="11" s="1"/>
  <c r="E19" i="11"/>
  <c r="E40" i="11" s="1"/>
  <c r="D19" i="11"/>
  <c r="D23" i="11" s="1"/>
  <c r="D34" i="11" s="1"/>
  <c r="D36" i="11" s="1"/>
  <c r="F18" i="11"/>
  <c r="F19" i="11" s="1"/>
  <c r="H17" i="11"/>
  <c r="G17" i="11"/>
  <c r="F15" i="11"/>
  <c r="E15" i="11"/>
  <c r="D15" i="11"/>
  <c r="F14" i="11"/>
  <c r="E14" i="11"/>
  <c r="D14" i="11"/>
  <c r="C2" i="11"/>
  <c r="F176" i="10"/>
  <c r="F172" i="10"/>
  <c r="F171" i="10"/>
  <c r="F170" i="10"/>
  <c r="E170" i="10"/>
  <c r="F162" i="10"/>
  <c r="C160" i="10"/>
  <c r="H159" i="10"/>
  <c r="C159" i="10"/>
  <c r="F156" i="10"/>
  <c r="G152" i="10"/>
  <c r="G146" i="10"/>
  <c r="F143" i="10"/>
  <c r="C143" i="10"/>
  <c r="F142" i="10"/>
  <c r="C142" i="10"/>
  <c r="K138" i="10"/>
  <c r="J138" i="10"/>
  <c r="I138" i="10"/>
  <c r="H138" i="10"/>
  <c r="G138" i="10"/>
  <c r="F138" i="10"/>
  <c r="K137" i="10"/>
  <c r="J137" i="10"/>
  <c r="I137" i="10"/>
  <c r="H137" i="10"/>
  <c r="G137" i="10"/>
  <c r="F137" i="10"/>
  <c r="F135" i="10"/>
  <c r="G134" i="10"/>
  <c r="G131" i="10"/>
  <c r="F130" i="10"/>
  <c r="F127" i="10"/>
  <c r="G127" i="10" s="1"/>
  <c r="H127" i="10" s="1"/>
  <c r="I127" i="10" s="1"/>
  <c r="J127" i="10" s="1"/>
  <c r="K127" i="10" s="1"/>
  <c r="F125" i="10"/>
  <c r="G122" i="10" s="1"/>
  <c r="F122" i="10"/>
  <c r="C120" i="10"/>
  <c r="H119" i="10"/>
  <c r="F119" i="10"/>
  <c r="C119" i="10"/>
  <c r="H114" i="10"/>
  <c r="G110" i="10"/>
  <c r="G114" i="10" s="1"/>
  <c r="G104" i="10"/>
  <c r="G103" i="10"/>
  <c r="K100" i="10"/>
  <c r="J100" i="10"/>
  <c r="I100" i="10"/>
  <c r="H100" i="10"/>
  <c r="G100" i="10"/>
  <c r="C96" i="10"/>
  <c r="H95" i="10"/>
  <c r="C95" i="10"/>
  <c r="F89" i="10"/>
  <c r="F90" i="10" s="1"/>
  <c r="E89" i="10"/>
  <c r="K87" i="10"/>
  <c r="H87" i="10"/>
  <c r="I87" i="10" s="1"/>
  <c r="J87" i="10" s="1"/>
  <c r="G87" i="10"/>
  <c r="H85" i="10"/>
  <c r="I85" i="10" s="1"/>
  <c r="J85" i="10" s="1"/>
  <c r="K85" i="10" s="1"/>
  <c r="G85" i="10"/>
  <c r="G83" i="10"/>
  <c r="H83" i="10" s="1"/>
  <c r="I83" i="10" s="1"/>
  <c r="J83" i="10" s="1"/>
  <c r="H79" i="10"/>
  <c r="H104" i="10" s="1"/>
  <c r="G79" i="10"/>
  <c r="H78" i="10"/>
  <c r="I78" i="10" s="1"/>
  <c r="J78" i="10" s="1"/>
  <c r="K78" i="10" s="1"/>
  <c r="G78" i="10"/>
  <c r="K77" i="10"/>
  <c r="J77" i="10"/>
  <c r="H77" i="10"/>
  <c r="I77" i="10" s="1"/>
  <c r="G77" i="10"/>
  <c r="H76" i="10"/>
  <c r="I76" i="10" s="1"/>
  <c r="J76" i="10" s="1"/>
  <c r="K76" i="10" s="1"/>
  <c r="G76" i="10"/>
  <c r="F74" i="10"/>
  <c r="F80" i="10" s="1"/>
  <c r="E74" i="10"/>
  <c r="E80" i="10" s="1"/>
  <c r="E90" i="10" s="1"/>
  <c r="H73" i="10"/>
  <c r="H110" i="10" s="1"/>
  <c r="G73" i="10"/>
  <c r="K72" i="10"/>
  <c r="H72" i="10"/>
  <c r="I72" i="10" s="1"/>
  <c r="J72" i="10" s="1"/>
  <c r="G72" i="10"/>
  <c r="H71" i="10"/>
  <c r="I71" i="10" s="1"/>
  <c r="J71" i="10" s="1"/>
  <c r="K71" i="10" s="1"/>
  <c r="G71" i="10"/>
  <c r="G70" i="10"/>
  <c r="H70" i="10" s="1"/>
  <c r="I70" i="10" s="1"/>
  <c r="J70" i="10" s="1"/>
  <c r="K70" i="10" s="1"/>
  <c r="G69" i="10"/>
  <c r="H69" i="10" s="1"/>
  <c r="I69" i="10" s="1"/>
  <c r="J69" i="10" s="1"/>
  <c r="K69" i="10" s="1"/>
  <c r="G68" i="10"/>
  <c r="H68" i="10" s="1"/>
  <c r="I68" i="10" s="1"/>
  <c r="J68" i="10" s="1"/>
  <c r="K68" i="10" s="1"/>
  <c r="G67" i="10"/>
  <c r="H67" i="10" s="1"/>
  <c r="I67" i="10" s="1"/>
  <c r="J67" i="10" s="1"/>
  <c r="K67" i="10" s="1"/>
  <c r="F63" i="10"/>
  <c r="F92" i="10" s="1"/>
  <c r="I62" i="10"/>
  <c r="H62" i="10"/>
  <c r="H103" i="10" s="1"/>
  <c r="G62" i="10"/>
  <c r="G61" i="10"/>
  <c r="H61" i="10" s="1"/>
  <c r="I61" i="10" s="1"/>
  <c r="J61" i="10" s="1"/>
  <c r="K61" i="10" s="1"/>
  <c r="G60" i="10"/>
  <c r="H60" i="10" s="1"/>
  <c r="I60" i="10" s="1"/>
  <c r="J60" i="10" s="1"/>
  <c r="K60" i="10" s="1"/>
  <c r="H59" i="10"/>
  <c r="I59" i="10" s="1"/>
  <c r="J59" i="10" s="1"/>
  <c r="K59" i="10" s="1"/>
  <c r="G59" i="10"/>
  <c r="G58" i="10"/>
  <c r="H58" i="10" s="1"/>
  <c r="I58" i="10" s="1"/>
  <c r="J58" i="10" s="1"/>
  <c r="K58" i="10" s="1"/>
  <c r="I57" i="10"/>
  <c r="J57" i="10" s="1"/>
  <c r="K57" i="10" s="1"/>
  <c r="G57" i="10"/>
  <c r="H57" i="10" s="1"/>
  <c r="F55" i="10"/>
  <c r="E55" i="10"/>
  <c r="E63" i="10" s="1"/>
  <c r="H54" i="10"/>
  <c r="I54" i="10" s="1"/>
  <c r="J54" i="10" s="1"/>
  <c r="K54" i="10" s="1"/>
  <c r="G54" i="10"/>
  <c r="G53" i="10"/>
  <c r="H53" i="10" s="1"/>
  <c r="I53" i="10" s="1"/>
  <c r="J53" i="10" s="1"/>
  <c r="K53" i="10" s="1"/>
  <c r="G51" i="10"/>
  <c r="H51" i="10" s="1"/>
  <c r="I51" i="10" s="1"/>
  <c r="J51" i="10" s="1"/>
  <c r="K51" i="10" s="1"/>
  <c r="G50" i="10"/>
  <c r="F46" i="10"/>
  <c r="C46" i="10"/>
  <c r="H45" i="10"/>
  <c r="F45" i="10"/>
  <c r="C45" i="10"/>
  <c r="E42" i="10"/>
  <c r="F41" i="10"/>
  <c r="E41" i="10"/>
  <c r="D41" i="10"/>
  <c r="E40" i="10"/>
  <c r="D40" i="10"/>
  <c r="F39" i="10"/>
  <c r="E39" i="10"/>
  <c r="E34" i="10"/>
  <c r="E36" i="10" s="1"/>
  <c r="D34" i="10"/>
  <c r="D36" i="10" s="1"/>
  <c r="G27" i="10"/>
  <c r="H27" i="10" s="1"/>
  <c r="I27" i="10" s="1"/>
  <c r="J27" i="10" s="1"/>
  <c r="K27" i="10" s="1"/>
  <c r="G26" i="10"/>
  <c r="H26" i="10" s="1"/>
  <c r="I26" i="10" s="1"/>
  <c r="J26" i="10" s="1"/>
  <c r="K26" i="10" s="1"/>
  <c r="D23" i="10"/>
  <c r="D29" i="10" s="1"/>
  <c r="G22" i="10"/>
  <c r="H22" i="10" s="1"/>
  <c r="I22" i="10" s="1"/>
  <c r="J22" i="10" s="1"/>
  <c r="K22" i="10" s="1"/>
  <c r="H21" i="10"/>
  <c r="G19" i="10"/>
  <c r="G23" i="10" s="1"/>
  <c r="F19" i="10"/>
  <c r="F40" i="10" s="1"/>
  <c r="E19" i="10"/>
  <c r="E23" i="10" s="1"/>
  <c r="E29" i="10" s="1"/>
  <c r="E31" i="10" s="1"/>
  <c r="D19" i="10"/>
  <c r="G18" i="10"/>
  <c r="H17" i="10"/>
  <c r="G17" i="10"/>
  <c r="G21" i="10" s="1"/>
  <c r="G15" i="10"/>
  <c r="G143" i="10" s="1"/>
  <c r="F15" i="10"/>
  <c r="F160" i="10" s="1"/>
  <c r="E15" i="10"/>
  <c r="I14" i="10"/>
  <c r="H14" i="10"/>
  <c r="G14" i="10"/>
  <c r="F14" i="10"/>
  <c r="F159" i="10" s="1"/>
  <c r="E14" i="10"/>
  <c r="C2" i="10"/>
  <c r="F176" i="9"/>
  <c r="F172" i="9"/>
  <c r="F170" i="9"/>
  <c r="E170" i="9"/>
  <c r="F171" i="9" s="1"/>
  <c r="F162" i="9"/>
  <c r="G160" i="9"/>
  <c r="F160" i="9"/>
  <c r="C160" i="9"/>
  <c r="G159" i="9"/>
  <c r="F159" i="9"/>
  <c r="C159" i="9"/>
  <c r="F156" i="9"/>
  <c r="G152" i="9"/>
  <c r="G146" i="9"/>
  <c r="G143" i="9"/>
  <c r="F143" i="9"/>
  <c r="C143" i="9"/>
  <c r="G142" i="9"/>
  <c r="F142" i="9"/>
  <c r="C142" i="9"/>
  <c r="K137" i="9"/>
  <c r="J137" i="9"/>
  <c r="I137" i="9"/>
  <c r="H137" i="9"/>
  <c r="G137" i="9"/>
  <c r="F137" i="9"/>
  <c r="F135" i="9"/>
  <c r="G134" i="9"/>
  <c r="F130" i="9"/>
  <c r="G127" i="9"/>
  <c r="H127" i="9" s="1"/>
  <c r="I127" i="9" s="1"/>
  <c r="J127" i="9" s="1"/>
  <c r="K127" i="9" s="1"/>
  <c r="F127" i="9"/>
  <c r="F125" i="9"/>
  <c r="G122" i="9"/>
  <c r="F122" i="9"/>
  <c r="F120" i="9"/>
  <c r="C120" i="9"/>
  <c r="G119" i="9"/>
  <c r="F119" i="9"/>
  <c r="C119" i="9"/>
  <c r="G110" i="9"/>
  <c r="G114" i="9" s="1"/>
  <c r="H100" i="9"/>
  <c r="G100" i="9"/>
  <c r="G96" i="9"/>
  <c r="C96" i="9"/>
  <c r="G95" i="9"/>
  <c r="C95" i="9"/>
  <c r="F89" i="9"/>
  <c r="E89" i="9"/>
  <c r="E90" i="9" s="1"/>
  <c r="G88" i="9"/>
  <c r="H88" i="9" s="1"/>
  <c r="I88" i="9" s="1"/>
  <c r="J88" i="9" s="1"/>
  <c r="K88" i="9" s="1"/>
  <c r="G87" i="9"/>
  <c r="H87" i="9" s="1"/>
  <c r="I87" i="9" s="1"/>
  <c r="J87" i="9" s="1"/>
  <c r="K87" i="9" s="1"/>
  <c r="G85" i="9"/>
  <c r="H85" i="9" s="1"/>
  <c r="I85" i="9" s="1"/>
  <c r="I83" i="9"/>
  <c r="H83" i="9"/>
  <c r="G83" i="9"/>
  <c r="I79" i="9"/>
  <c r="J79" i="9" s="1"/>
  <c r="H79" i="9"/>
  <c r="H104" i="9" s="1"/>
  <c r="G79" i="9"/>
  <c r="G104" i="9" s="1"/>
  <c r="G78" i="9"/>
  <c r="H78" i="9" s="1"/>
  <c r="I78" i="9" s="1"/>
  <c r="J78" i="9" s="1"/>
  <c r="K78" i="9" s="1"/>
  <c r="K77" i="9"/>
  <c r="I77" i="9"/>
  <c r="J77" i="9" s="1"/>
  <c r="H77" i="9"/>
  <c r="G77" i="9"/>
  <c r="G76" i="9"/>
  <c r="H76" i="9" s="1"/>
  <c r="I76" i="9" s="1"/>
  <c r="J76" i="9" s="1"/>
  <c r="K76" i="9" s="1"/>
  <c r="F74" i="9"/>
  <c r="F80" i="9" s="1"/>
  <c r="E74" i="9"/>
  <c r="E80" i="9" s="1"/>
  <c r="G73" i="9"/>
  <c r="H73" i="9" s="1"/>
  <c r="H110" i="9" s="1"/>
  <c r="H114" i="9" s="1"/>
  <c r="G72" i="9"/>
  <c r="H72" i="9" s="1"/>
  <c r="I72" i="9" s="1"/>
  <c r="J72" i="9" s="1"/>
  <c r="K72" i="9" s="1"/>
  <c r="I71" i="9"/>
  <c r="J71" i="9" s="1"/>
  <c r="K71" i="9" s="1"/>
  <c r="G71" i="9"/>
  <c r="H71" i="9" s="1"/>
  <c r="H70" i="9"/>
  <c r="I70" i="9" s="1"/>
  <c r="J70" i="9" s="1"/>
  <c r="K70" i="9" s="1"/>
  <c r="G70" i="9"/>
  <c r="I69" i="9"/>
  <c r="J69" i="9" s="1"/>
  <c r="K69" i="9" s="1"/>
  <c r="H69" i="9"/>
  <c r="G69" i="9"/>
  <c r="G68" i="9"/>
  <c r="H68" i="9" s="1"/>
  <c r="I68" i="9" s="1"/>
  <c r="J68" i="9" s="1"/>
  <c r="K68" i="9" s="1"/>
  <c r="G67" i="9"/>
  <c r="H67" i="9" s="1"/>
  <c r="I67" i="9" s="1"/>
  <c r="J67" i="9" s="1"/>
  <c r="K67" i="9" s="1"/>
  <c r="F63" i="9"/>
  <c r="E63" i="9"/>
  <c r="G62" i="9"/>
  <c r="I61" i="9"/>
  <c r="J61" i="9" s="1"/>
  <c r="K61" i="9" s="1"/>
  <c r="H61" i="9"/>
  <c r="G61" i="9"/>
  <c r="K60" i="9"/>
  <c r="I60" i="9"/>
  <c r="J60" i="9" s="1"/>
  <c r="H60" i="9"/>
  <c r="G60" i="9"/>
  <c r="G59" i="9"/>
  <c r="H59" i="9" s="1"/>
  <c r="I59" i="9" s="1"/>
  <c r="J59" i="9" s="1"/>
  <c r="K59" i="9" s="1"/>
  <c r="I58" i="9"/>
  <c r="J58" i="9" s="1"/>
  <c r="K58" i="9" s="1"/>
  <c r="H58" i="9"/>
  <c r="G58" i="9"/>
  <c r="G57" i="9"/>
  <c r="H57" i="9" s="1"/>
  <c r="I57" i="9" s="1"/>
  <c r="J57" i="9" s="1"/>
  <c r="K57" i="9" s="1"/>
  <c r="F55" i="9"/>
  <c r="E55" i="9"/>
  <c r="G54" i="9"/>
  <c r="H54" i="9" s="1"/>
  <c r="I54" i="9" s="1"/>
  <c r="J54" i="9" s="1"/>
  <c r="K54" i="9" s="1"/>
  <c r="G53" i="9"/>
  <c r="H53" i="9" s="1"/>
  <c r="I53" i="9" s="1"/>
  <c r="J53" i="9" s="1"/>
  <c r="K53" i="9" s="1"/>
  <c r="G51" i="9"/>
  <c r="H51" i="9" s="1"/>
  <c r="I51" i="9" s="1"/>
  <c r="J51" i="9" s="1"/>
  <c r="K51" i="9" s="1"/>
  <c r="G50" i="9"/>
  <c r="G46" i="9"/>
  <c r="F46" i="9"/>
  <c r="C46" i="9"/>
  <c r="G45" i="9"/>
  <c r="F45" i="9"/>
  <c r="C45" i="9"/>
  <c r="E42" i="9"/>
  <c r="F41" i="9"/>
  <c r="E41" i="9"/>
  <c r="D41" i="9"/>
  <c r="D40" i="9"/>
  <c r="F39" i="9"/>
  <c r="E39" i="9"/>
  <c r="E36" i="9"/>
  <c r="D36" i="9"/>
  <c r="I35" i="9"/>
  <c r="H35" i="9"/>
  <c r="G35" i="9"/>
  <c r="E29" i="9"/>
  <c r="E31" i="9" s="1"/>
  <c r="D29" i="9"/>
  <c r="D42" i="9" s="1"/>
  <c r="K27" i="9"/>
  <c r="J27" i="9"/>
  <c r="H27" i="9"/>
  <c r="I27" i="9" s="1"/>
  <c r="G27" i="9"/>
  <c r="G26" i="9"/>
  <c r="H26" i="9" s="1"/>
  <c r="I26" i="9" s="1"/>
  <c r="J26" i="9" s="1"/>
  <c r="K26" i="9" s="1"/>
  <c r="E23" i="9"/>
  <c r="E34" i="9" s="1"/>
  <c r="D23" i="9"/>
  <c r="D34" i="9" s="1"/>
  <c r="G22" i="9"/>
  <c r="H22" i="9" s="1"/>
  <c r="I22" i="9" s="1"/>
  <c r="J22" i="9" s="1"/>
  <c r="K22" i="9" s="1"/>
  <c r="H19" i="9"/>
  <c r="G19" i="9"/>
  <c r="G18" i="9" s="1"/>
  <c r="F19" i="9"/>
  <c r="F40" i="9" s="1"/>
  <c r="E19" i="9"/>
  <c r="E40" i="9" s="1"/>
  <c r="D19" i="9"/>
  <c r="H17" i="9"/>
  <c r="G17" i="9"/>
  <c r="H15" i="9"/>
  <c r="G15" i="9"/>
  <c r="G120" i="9" s="1"/>
  <c r="F15" i="9"/>
  <c r="E15" i="9"/>
  <c r="H14" i="9"/>
  <c r="G14" i="9"/>
  <c r="F14" i="9"/>
  <c r="E14" i="9"/>
  <c r="C2" i="9"/>
  <c r="F180" i="8"/>
  <c r="F176" i="8"/>
  <c r="F174" i="8"/>
  <c r="E174" i="8"/>
  <c r="F175" i="8" s="1"/>
  <c r="F166" i="8"/>
  <c r="F164" i="8"/>
  <c r="E164" i="8"/>
  <c r="C164" i="8"/>
  <c r="F163" i="8"/>
  <c r="C163" i="8"/>
  <c r="F160" i="8"/>
  <c r="G156" i="8"/>
  <c r="G150" i="8"/>
  <c r="C147" i="8"/>
  <c r="C146" i="8"/>
  <c r="K141" i="8"/>
  <c r="J141" i="8"/>
  <c r="I141" i="8"/>
  <c r="H141" i="8"/>
  <c r="G141" i="8"/>
  <c r="F141" i="8"/>
  <c r="F139" i="8"/>
  <c r="F134" i="8"/>
  <c r="F131" i="8"/>
  <c r="G131" i="8" s="1"/>
  <c r="H131" i="8" s="1"/>
  <c r="I131" i="8" s="1"/>
  <c r="J131" i="8" s="1"/>
  <c r="K131" i="8" s="1"/>
  <c r="F129" i="8"/>
  <c r="G126" i="8" s="1"/>
  <c r="F126" i="8"/>
  <c r="F124" i="8"/>
  <c r="C124" i="8"/>
  <c r="F123" i="8"/>
  <c r="C123" i="8"/>
  <c r="G104" i="8"/>
  <c r="C100" i="8"/>
  <c r="C99" i="8"/>
  <c r="F93" i="8"/>
  <c r="F94" i="8" s="1"/>
  <c r="E93" i="8"/>
  <c r="G92" i="8"/>
  <c r="H92" i="8" s="1"/>
  <c r="I92" i="8" s="1"/>
  <c r="J92" i="8" s="1"/>
  <c r="K92" i="8" s="1"/>
  <c r="G91" i="8"/>
  <c r="H91" i="8" s="1"/>
  <c r="I91" i="8" s="1"/>
  <c r="J91" i="8" s="1"/>
  <c r="K91" i="8" s="1"/>
  <c r="G89" i="8"/>
  <c r="H87" i="8"/>
  <c r="I87" i="8" s="1"/>
  <c r="J87" i="8" s="1"/>
  <c r="G87" i="8"/>
  <c r="I82" i="8"/>
  <c r="J82" i="8" s="1"/>
  <c r="K82" i="8" s="1"/>
  <c r="G82" i="8"/>
  <c r="H82" i="8" s="1"/>
  <c r="H81" i="8"/>
  <c r="I81" i="8" s="1"/>
  <c r="J81" i="8" s="1"/>
  <c r="K81" i="8" s="1"/>
  <c r="G81" i="8"/>
  <c r="G80" i="8"/>
  <c r="H80" i="8" s="1"/>
  <c r="I80" i="8" s="1"/>
  <c r="J80" i="8" s="1"/>
  <c r="K80" i="8" s="1"/>
  <c r="F78" i="8"/>
  <c r="F84" i="8" s="1"/>
  <c r="E78" i="8"/>
  <c r="E84" i="8" s="1"/>
  <c r="H77" i="8"/>
  <c r="G77" i="8"/>
  <c r="G114" i="8" s="1"/>
  <c r="G118" i="8" s="1"/>
  <c r="K76" i="8"/>
  <c r="G76" i="8"/>
  <c r="H76" i="8" s="1"/>
  <c r="I76" i="8" s="1"/>
  <c r="J76" i="8" s="1"/>
  <c r="G74" i="8"/>
  <c r="H74" i="8" s="1"/>
  <c r="I74" i="8" s="1"/>
  <c r="J74" i="8" s="1"/>
  <c r="K74" i="8" s="1"/>
  <c r="H73" i="8"/>
  <c r="I73" i="8" s="1"/>
  <c r="J73" i="8" s="1"/>
  <c r="K73" i="8" s="1"/>
  <c r="G73" i="8"/>
  <c r="F67" i="8"/>
  <c r="F96" i="8" s="1"/>
  <c r="E67" i="8"/>
  <c r="J65" i="8"/>
  <c r="K65" i="8" s="1"/>
  <c r="H65" i="8"/>
  <c r="I65" i="8" s="1"/>
  <c r="G65" i="8"/>
  <c r="G64" i="8"/>
  <c r="H64" i="8" s="1"/>
  <c r="I64" i="8" s="1"/>
  <c r="J64" i="8" s="1"/>
  <c r="K64" i="8" s="1"/>
  <c r="G63" i="8"/>
  <c r="H63" i="8" s="1"/>
  <c r="I63" i="8" s="1"/>
  <c r="J63" i="8" s="1"/>
  <c r="K63" i="8" s="1"/>
  <c r="I62" i="8"/>
  <c r="J62" i="8" s="1"/>
  <c r="K62" i="8" s="1"/>
  <c r="G62" i="8"/>
  <c r="H62" i="8" s="1"/>
  <c r="G61" i="8"/>
  <c r="H61" i="8" s="1"/>
  <c r="I61" i="8" s="1"/>
  <c r="J61" i="8" s="1"/>
  <c r="K61" i="8" s="1"/>
  <c r="F59" i="8"/>
  <c r="E59" i="8"/>
  <c r="G58" i="8"/>
  <c r="H58" i="8" s="1"/>
  <c r="I58" i="8" s="1"/>
  <c r="J58" i="8" s="1"/>
  <c r="K58" i="8" s="1"/>
  <c r="F50" i="8"/>
  <c r="E50" i="8"/>
  <c r="C50" i="8"/>
  <c r="F49" i="8"/>
  <c r="C49" i="8"/>
  <c r="F45" i="8"/>
  <c r="E45" i="8"/>
  <c r="F43" i="8"/>
  <c r="E43" i="8"/>
  <c r="F42" i="8"/>
  <c r="E42" i="8"/>
  <c r="G41" i="8"/>
  <c r="F41" i="8"/>
  <c r="E41" i="8"/>
  <c r="G37" i="8"/>
  <c r="H37" i="8" s="1"/>
  <c r="H104" i="8" s="1"/>
  <c r="J29" i="8"/>
  <c r="K29" i="8" s="1"/>
  <c r="H29" i="8"/>
  <c r="I29" i="8" s="1"/>
  <c r="G29" i="8"/>
  <c r="G28" i="8"/>
  <c r="H28" i="8" s="1"/>
  <c r="I28" i="8" s="1"/>
  <c r="J28" i="8" s="1"/>
  <c r="K28" i="8" s="1"/>
  <c r="G24" i="8"/>
  <c r="H24" i="8" s="1"/>
  <c r="I24" i="8" s="1"/>
  <c r="J24" i="8" s="1"/>
  <c r="K24" i="8" s="1"/>
  <c r="F19" i="8"/>
  <c r="E19" i="8"/>
  <c r="E21" i="8" s="1"/>
  <c r="D19" i="8"/>
  <c r="D21" i="8" s="1"/>
  <c r="H18" i="8"/>
  <c r="G18" i="8"/>
  <c r="G19" i="8" s="1"/>
  <c r="H17" i="8"/>
  <c r="I17" i="8" s="1"/>
  <c r="J17" i="8" s="1"/>
  <c r="K17" i="8" s="1"/>
  <c r="G17" i="8"/>
  <c r="H15" i="8"/>
  <c r="G15" i="8"/>
  <c r="F15" i="8"/>
  <c r="F147" i="8" s="1"/>
  <c r="E15" i="8"/>
  <c r="E147" i="8" s="1"/>
  <c r="G14" i="8"/>
  <c r="F14" i="8"/>
  <c r="F146" i="8" s="1"/>
  <c r="E14" i="8"/>
  <c r="C2" i="8"/>
  <c r="F180" i="7"/>
  <c r="F176" i="7"/>
  <c r="F174" i="7"/>
  <c r="E174" i="7"/>
  <c r="F175" i="7" s="1"/>
  <c r="F166" i="7"/>
  <c r="C164" i="7"/>
  <c r="C163" i="7"/>
  <c r="F160" i="7"/>
  <c r="G156" i="7"/>
  <c r="G150" i="7"/>
  <c r="C147" i="7"/>
  <c r="C146" i="7"/>
  <c r="K141" i="7"/>
  <c r="J141" i="7"/>
  <c r="I141" i="7"/>
  <c r="H141" i="7"/>
  <c r="G141" i="7"/>
  <c r="F141" i="7"/>
  <c r="F139" i="7"/>
  <c r="F134" i="7"/>
  <c r="F131" i="7"/>
  <c r="G131" i="7" s="1"/>
  <c r="H131" i="7" s="1"/>
  <c r="I131" i="7" s="1"/>
  <c r="J131" i="7" s="1"/>
  <c r="K131" i="7" s="1"/>
  <c r="F129" i="7"/>
  <c r="G126" i="7"/>
  <c r="F126" i="7"/>
  <c r="C124" i="7"/>
  <c r="C123" i="7"/>
  <c r="G118" i="7"/>
  <c r="C100" i="7"/>
  <c r="C99" i="7"/>
  <c r="F94" i="7"/>
  <c r="F93" i="7"/>
  <c r="E93" i="7"/>
  <c r="K92" i="7"/>
  <c r="J92" i="7"/>
  <c r="G92" i="7"/>
  <c r="H92" i="7" s="1"/>
  <c r="I92" i="7" s="1"/>
  <c r="I91" i="7"/>
  <c r="J91" i="7" s="1"/>
  <c r="K91" i="7" s="1"/>
  <c r="G91" i="7"/>
  <c r="H91" i="7" s="1"/>
  <c r="G87" i="7"/>
  <c r="I82" i="7"/>
  <c r="J82" i="7" s="1"/>
  <c r="K82" i="7" s="1"/>
  <c r="G82" i="7"/>
  <c r="H82" i="7" s="1"/>
  <c r="H81" i="7"/>
  <c r="I81" i="7" s="1"/>
  <c r="J81" i="7" s="1"/>
  <c r="K81" i="7" s="1"/>
  <c r="G81" i="7"/>
  <c r="I80" i="7"/>
  <c r="J80" i="7" s="1"/>
  <c r="K80" i="7" s="1"/>
  <c r="G80" i="7"/>
  <c r="H80" i="7" s="1"/>
  <c r="F78" i="7"/>
  <c r="F84" i="7" s="1"/>
  <c r="E78" i="7"/>
  <c r="E84" i="7" s="1"/>
  <c r="E94" i="7" s="1"/>
  <c r="H77" i="7"/>
  <c r="G77" i="7"/>
  <c r="G114" i="7" s="1"/>
  <c r="G76" i="7"/>
  <c r="H76" i="7" s="1"/>
  <c r="I76" i="7" s="1"/>
  <c r="J76" i="7" s="1"/>
  <c r="K76" i="7" s="1"/>
  <c r="H74" i="7"/>
  <c r="I74" i="7" s="1"/>
  <c r="J74" i="7" s="1"/>
  <c r="K74" i="7" s="1"/>
  <c r="G74" i="7"/>
  <c r="G73" i="7"/>
  <c r="H73" i="7" s="1"/>
  <c r="I73" i="7" s="1"/>
  <c r="J73" i="7" s="1"/>
  <c r="K73" i="7" s="1"/>
  <c r="E67" i="7"/>
  <c r="G65" i="7"/>
  <c r="H65" i="7" s="1"/>
  <c r="I65" i="7" s="1"/>
  <c r="J65" i="7" s="1"/>
  <c r="K65" i="7" s="1"/>
  <c r="H64" i="7"/>
  <c r="I64" i="7" s="1"/>
  <c r="J64" i="7" s="1"/>
  <c r="K64" i="7" s="1"/>
  <c r="G64" i="7"/>
  <c r="I63" i="7"/>
  <c r="J63" i="7" s="1"/>
  <c r="K63" i="7" s="1"/>
  <c r="G63" i="7"/>
  <c r="H63" i="7" s="1"/>
  <c r="G62" i="7"/>
  <c r="H62" i="7" s="1"/>
  <c r="I62" i="7" s="1"/>
  <c r="J62" i="7" s="1"/>
  <c r="K62" i="7" s="1"/>
  <c r="J61" i="7"/>
  <c r="K61" i="7" s="1"/>
  <c r="H61" i="7"/>
  <c r="I61" i="7" s="1"/>
  <c r="G61" i="7"/>
  <c r="F59" i="7"/>
  <c r="F67" i="7" s="1"/>
  <c r="E59" i="7"/>
  <c r="I58" i="7"/>
  <c r="J58" i="7" s="1"/>
  <c r="K58" i="7" s="1"/>
  <c r="H58" i="7"/>
  <c r="G58" i="7"/>
  <c r="C50" i="7"/>
  <c r="C49" i="7"/>
  <c r="D45" i="7"/>
  <c r="E44" i="7"/>
  <c r="D44" i="7"/>
  <c r="F43" i="7"/>
  <c r="E43" i="7"/>
  <c r="F42" i="7"/>
  <c r="E42" i="7"/>
  <c r="G37" i="7"/>
  <c r="G89" i="7" s="1"/>
  <c r="G29" i="7"/>
  <c r="H29" i="7" s="1"/>
  <c r="I29" i="7" s="1"/>
  <c r="J29" i="7" s="1"/>
  <c r="K29" i="7" s="1"/>
  <c r="H28" i="7"/>
  <c r="I28" i="7" s="1"/>
  <c r="J28" i="7" s="1"/>
  <c r="K28" i="7" s="1"/>
  <c r="G28" i="7"/>
  <c r="G24" i="7"/>
  <c r="H24" i="7" s="1"/>
  <c r="I24" i="7" s="1"/>
  <c r="J24" i="7" s="1"/>
  <c r="K24" i="7" s="1"/>
  <c r="E21" i="7"/>
  <c r="E25" i="7" s="1"/>
  <c r="D21" i="7"/>
  <c r="D25" i="7" s="1"/>
  <c r="F19" i="7"/>
  <c r="E19" i="7"/>
  <c r="E45" i="7" s="1"/>
  <c r="D19" i="7"/>
  <c r="E41" i="7" s="1"/>
  <c r="G18" i="7"/>
  <c r="H18" i="7" s="1"/>
  <c r="G17" i="7"/>
  <c r="H17" i="7" s="1"/>
  <c r="I17" i="7" s="1"/>
  <c r="J17" i="7" s="1"/>
  <c r="K17" i="7" s="1"/>
  <c r="F15" i="7"/>
  <c r="E15" i="7"/>
  <c r="F14" i="7"/>
  <c r="F146" i="7" s="1"/>
  <c r="E14" i="7"/>
  <c r="D14" i="7" s="1"/>
  <c r="C2" i="7"/>
  <c r="F180" i="6"/>
  <c r="F176" i="6"/>
  <c r="F174" i="6"/>
  <c r="F175" i="6" s="1"/>
  <c r="E174" i="6"/>
  <c r="F166" i="6"/>
  <c r="C164" i="6"/>
  <c r="C163" i="6"/>
  <c r="F160" i="6"/>
  <c r="G156" i="6"/>
  <c r="G150" i="6"/>
  <c r="G147" i="6"/>
  <c r="C147" i="6"/>
  <c r="C146" i="6"/>
  <c r="K141" i="6"/>
  <c r="J141" i="6"/>
  <c r="I141" i="6"/>
  <c r="H141" i="6"/>
  <c r="G141" i="6"/>
  <c r="F141" i="6"/>
  <c r="F139" i="6"/>
  <c r="F134" i="6"/>
  <c r="F131" i="6"/>
  <c r="G131" i="6" s="1"/>
  <c r="H131" i="6" s="1"/>
  <c r="I131" i="6" s="1"/>
  <c r="J131" i="6" s="1"/>
  <c r="K131" i="6" s="1"/>
  <c r="F129" i="6"/>
  <c r="G126" i="6"/>
  <c r="F126" i="6"/>
  <c r="F124" i="6"/>
  <c r="C124" i="6"/>
  <c r="F123" i="6"/>
  <c r="C123" i="6"/>
  <c r="G114" i="6"/>
  <c r="G118" i="6" s="1"/>
  <c r="C100" i="6"/>
  <c r="C99" i="6"/>
  <c r="F96" i="6"/>
  <c r="F93" i="6"/>
  <c r="F94" i="6" s="1"/>
  <c r="E93" i="6"/>
  <c r="G92" i="6"/>
  <c r="H92" i="6" s="1"/>
  <c r="I92" i="6" s="1"/>
  <c r="J92" i="6" s="1"/>
  <c r="K92" i="6" s="1"/>
  <c r="J91" i="6"/>
  <c r="K91" i="6" s="1"/>
  <c r="G91" i="6"/>
  <c r="H91" i="6" s="1"/>
  <c r="I91" i="6" s="1"/>
  <c r="G89" i="6"/>
  <c r="I87" i="6"/>
  <c r="G87" i="6"/>
  <c r="H87" i="6" s="1"/>
  <c r="F84" i="6"/>
  <c r="G82" i="6"/>
  <c r="H82" i="6" s="1"/>
  <c r="I82" i="6" s="1"/>
  <c r="J82" i="6" s="1"/>
  <c r="K82" i="6" s="1"/>
  <c r="H81" i="6"/>
  <c r="I81" i="6" s="1"/>
  <c r="J81" i="6" s="1"/>
  <c r="K81" i="6" s="1"/>
  <c r="G81" i="6"/>
  <c r="G80" i="6"/>
  <c r="H80" i="6" s="1"/>
  <c r="I80" i="6" s="1"/>
  <c r="J80" i="6" s="1"/>
  <c r="K80" i="6" s="1"/>
  <c r="F78" i="6"/>
  <c r="E78" i="6"/>
  <c r="E84" i="6" s="1"/>
  <c r="E94" i="6" s="1"/>
  <c r="H77" i="6"/>
  <c r="I77" i="6" s="1"/>
  <c r="I114" i="6" s="1"/>
  <c r="I118" i="6" s="1"/>
  <c r="G77" i="6"/>
  <c r="G76" i="6"/>
  <c r="H76" i="6" s="1"/>
  <c r="I76" i="6" s="1"/>
  <c r="J76" i="6" s="1"/>
  <c r="K76" i="6" s="1"/>
  <c r="H74" i="6"/>
  <c r="I74" i="6" s="1"/>
  <c r="J74" i="6" s="1"/>
  <c r="K74" i="6" s="1"/>
  <c r="G74" i="6"/>
  <c r="G73" i="6"/>
  <c r="H73" i="6" s="1"/>
  <c r="I73" i="6" s="1"/>
  <c r="J73" i="6" s="1"/>
  <c r="K73" i="6" s="1"/>
  <c r="F67" i="6"/>
  <c r="I65" i="6"/>
  <c r="J65" i="6" s="1"/>
  <c r="K65" i="6" s="1"/>
  <c r="G65" i="6"/>
  <c r="H65" i="6" s="1"/>
  <c r="H64" i="6"/>
  <c r="I64" i="6" s="1"/>
  <c r="J64" i="6" s="1"/>
  <c r="K64" i="6" s="1"/>
  <c r="G64" i="6"/>
  <c r="H63" i="6"/>
  <c r="I63" i="6" s="1"/>
  <c r="J63" i="6" s="1"/>
  <c r="K63" i="6" s="1"/>
  <c r="G63" i="6"/>
  <c r="I62" i="6"/>
  <c r="J62" i="6" s="1"/>
  <c r="K62" i="6" s="1"/>
  <c r="H62" i="6"/>
  <c r="G62" i="6"/>
  <c r="G61" i="6"/>
  <c r="H61" i="6" s="1"/>
  <c r="I61" i="6" s="1"/>
  <c r="J61" i="6" s="1"/>
  <c r="K61" i="6" s="1"/>
  <c r="F59" i="6"/>
  <c r="E59" i="6"/>
  <c r="E67" i="6" s="1"/>
  <c r="H58" i="6"/>
  <c r="I58" i="6" s="1"/>
  <c r="J58" i="6" s="1"/>
  <c r="K58" i="6" s="1"/>
  <c r="G58" i="6"/>
  <c r="F50" i="6"/>
  <c r="C50" i="6"/>
  <c r="F49" i="6"/>
  <c r="C49" i="6"/>
  <c r="E45" i="6"/>
  <c r="D45" i="6"/>
  <c r="F43" i="6"/>
  <c r="E43" i="6"/>
  <c r="F42" i="6"/>
  <c r="E42" i="6"/>
  <c r="F41" i="6"/>
  <c r="E41" i="6"/>
  <c r="G37" i="6"/>
  <c r="G104" i="6" s="1"/>
  <c r="G29" i="6"/>
  <c r="H29" i="6" s="1"/>
  <c r="I29" i="6" s="1"/>
  <c r="J29" i="6" s="1"/>
  <c r="K29" i="6" s="1"/>
  <c r="G28" i="6"/>
  <c r="H28" i="6" s="1"/>
  <c r="I28" i="6" s="1"/>
  <c r="J28" i="6" s="1"/>
  <c r="K28" i="6" s="1"/>
  <c r="G24" i="6"/>
  <c r="H24" i="6" s="1"/>
  <c r="I24" i="6" s="1"/>
  <c r="J24" i="6" s="1"/>
  <c r="K24" i="6" s="1"/>
  <c r="F21" i="6"/>
  <c r="D21" i="6"/>
  <c r="D44" i="6" s="1"/>
  <c r="F19" i="6"/>
  <c r="E19" i="6"/>
  <c r="E21" i="6" s="1"/>
  <c r="D19" i="6"/>
  <c r="H18" i="6"/>
  <c r="I18" i="6" s="1"/>
  <c r="G18" i="6"/>
  <c r="G17" i="6"/>
  <c r="H17" i="6" s="1"/>
  <c r="I17" i="6" s="1"/>
  <c r="J17" i="6" s="1"/>
  <c r="K17" i="6" s="1"/>
  <c r="G15" i="6"/>
  <c r="G50" i="6" s="1"/>
  <c r="F15" i="6"/>
  <c r="F164" i="6" s="1"/>
  <c r="E15" i="6"/>
  <c r="D15" i="6"/>
  <c r="G14" i="6"/>
  <c r="G99" i="6" s="1"/>
  <c r="F14" i="6"/>
  <c r="F163" i="6" s="1"/>
  <c r="E14" i="6"/>
  <c r="D14" i="6"/>
  <c r="C2" i="6"/>
  <c r="E232" i="5"/>
  <c r="F189" i="5"/>
  <c r="F185" i="5"/>
  <c r="F183" i="5"/>
  <c r="E183" i="5"/>
  <c r="F184" i="5" s="1"/>
  <c r="F175" i="5"/>
  <c r="C173" i="5"/>
  <c r="C172" i="5"/>
  <c r="F169" i="5"/>
  <c r="G165" i="5"/>
  <c r="G159" i="5"/>
  <c r="C156" i="5"/>
  <c r="C155" i="5"/>
  <c r="K150" i="5"/>
  <c r="J150" i="5"/>
  <c r="I150" i="5"/>
  <c r="H150" i="5"/>
  <c r="G150" i="5"/>
  <c r="F150" i="5"/>
  <c r="F148" i="5"/>
  <c r="F143" i="5"/>
  <c r="K140" i="5"/>
  <c r="H140" i="5"/>
  <c r="I140" i="5" s="1"/>
  <c r="J140" i="5" s="1"/>
  <c r="G140" i="5"/>
  <c r="F140" i="5"/>
  <c r="F138" i="5"/>
  <c r="G135" i="5" s="1"/>
  <c r="F135" i="5"/>
  <c r="C133" i="5"/>
  <c r="C132" i="5"/>
  <c r="G127" i="5"/>
  <c r="K113" i="5"/>
  <c r="J113" i="5"/>
  <c r="I113" i="5"/>
  <c r="H113" i="5"/>
  <c r="G113" i="5"/>
  <c r="C109" i="5"/>
  <c r="C108" i="5"/>
  <c r="F102" i="5"/>
  <c r="F103" i="5" s="1"/>
  <c r="F105" i="5" s="1"/>
  <c r="E102" i="5"/>
  <c r="G101" i="5"/>
  <c r="H101" i="5" s="1"/>
  <c r="I101" i="5" s="1"/>
  <c r="J101" i="5" s="1"/>
  <c r="K101" i="5" s="1"/>
  <c r="H100" i="5"/>
  <c r="I100" i="5" s="1"/>
  <c r="J100" i="5" s="1"/>
  <c r="K100" i="5" s="1"/>
  <c r="G100" i="5"/>
  <c r="H98" i="5"/>
  <c r="I98" i="5" s="1"/>
  <c r="J98" i="5" s="1"/>
  <c r="K98" i="5" s="1"/>
  <c r="G98" i="5"/>
  <c r="G96" i="5"/>
  <c r="F93" i="5"/>
  <c r="E93" i="5"/>
  <c r="H91" i="5"/>
  <c r="I91" i="5" s="1"/>
  <c r="J91" i="5" s="1"/>
  <c r="K91" i="5" s="1"/>
  <c r="G91" i="5"/>
  <c r="I90" i="5"/>
  <c r="J90" i="5" s="1"/>
  <c r="K90" i="5" s="1"/>
  <c r="G90" i="5"/>
  <c r="H90" i="5" s="1"/>
  <c r="H89" i="5"/>
  <c r="I89" i="5" s="1"/>
  <c r="J89" i="5" s="1"/>
  <c r="K89" i="5" s="1"/>
  <c r="G89" i="5"/>
  <c r="F87" i="5"/>
  <c r="E87" i="5"/>
  <c r="H86" i="5"/>
  <c r="H123" i="5" s="1"/>
  <c r="H127" i="5" s="1"/>
  <c r="G86" i="5"/>
  <c r="G123" i="5" s="1"/>
  <c r="J85" i="5"/>
  <c r="K85" i="5" s="1"/>
  <c r="I85" i="5"/>
  <c r="H85" i="5"/>
  <c r="G85" i="5"/>
  <c r="J83" i="5"/>
  <c r="K83" i="5" s="1"/>
  <c r="H83" i="5"/>
  <c r="I83" i="5" s="1"/>
  <c r="G83" i="5"/>
  <c r="H82" i="5"/>
  <c r="I82" i="5" s="1"/>
  <c r="J82" i="5" s="1"/>
  <c r="K82" i="5" s="1"/>
  <c r="G82" i="5"/>
  <c r="H74" i="5"/>
  <c r="I74" i="5" s="1"/>
  <c r="J74" i="5" s="1"/>
  <c r="K74" i="5" s="1"/>
  <c r="G74" i="5"/>
  <c r="I73" i="5"/>
  <c r="J73" i="5" s="1"/>
  <c r="K73" i="5" s="1"/>
  <c r="H73" i="5"/>
  <c r="G73" i="5"/>
  <c r="I72" i="5"/>
  <c r="J72" i="5" s="1"/>
  <c r="K72" i="5" s="1"/>
  <c r="G72" i="5"/>
  <c r="H72" i="5" s="1"/>
  <c r="J71" i="5"/>
  <c r="K71" i="5" s="1"/>
  <c r="H71" i="5"/>
  <c r="I71" i="5" s="1"/>
  <c r="G71" i="5"/>
  <c r="H70" i="5"/>
  <c r="I70" i="5" s="1"/>
  <c r="J70" i="5" s="1"/>
  <c r="K70" i="5" s="1"/>
  <c r="G70" i="5"/>
  <c r="F68" i="5"/>
  <c r="F76" i="5" s="1"/>
  <c r="E68" i="5"/>
  <c r="E76" i="5" s="1"/>
  <c r="I67" i="5"/>
  <c r="J67" i="5" s="1"/>
  <c r="K67" i="5" s="1"/>
  <c r="H67" i="5"/>
  <c r="G67" i="5"/>
  <c r="C59" i="5"/>
  <c r="C58" i="5"/>
  <c r="F53" i="5"/>
  <c r="F51" i="5"/>
  <c r="E51" i="5"/>
  <c r="F50" i="5"/>
  <c r="E50" i="5"/>
  <c r="H29" i="5"/>
  <c r="I29" i="5" s="1"/>
  <c r="J29" i="5" s="1"/>
  <c r="K29" i="5" s="1"/>
  <c r="G29" i="5"/>
  <c r="G28" i="5"/>
  <c r="I24" i="5"/>
  <c r="J24" i="5" s="1"/>
  <c r="K24" i="5" s="1"/>
  <c r="H24" i="5"/>
  <c r="G24" i="5"/>
  <c r="K22" i="5"/>
  <c r="J22" i="5"/>
  <c r="I22" i="5"/>
  <c r="H22" i="5"/>
  <c r="G22" i="5"/>
  <c r="F19" i="5"/>
  <c r="E19" i="5"/>
  <c r="D19" i="5"/>
  <c r="H18" i="5"/>
  <c r="I18" i="5" s="1"/>
  <c r="J18" i="5" s="1"/>
  <c r="K18" i="5" s="1"/>
  <c r="K19" i="5" s="1"/>
  <c r="G18" i="5"/>
  <c r="G19" i="5" s="1"/>
  <c r="G17" i="5"/>
  <c r="H17" i="5" s="1"/>
  <c r="I17" i="5" s="1"/>
  <c r="J17" i="5" s="1"/>
  <c r="K17" i="5" s="1"/>
  <c r="F15" i="5"/>
  <c r="F14" i="5"/>
  <c r="C2" i="5"/>
  <c r="L284" i="4"/>
  <c r="F276" i="4"/>
  <c r="F274" i="4"/>
  <c r="F265" i="4"/>
  <c r="K264" i="4"/>
  <c r="K263" i="4"/>
  <c r="K260" i="4"/>
  <c r="G233" i="4"/>
  <c r="G229" i="4"/>
  <c r="G228" i="4"/>
  <c r="G227" i="4"/>
  <c r="F227" i="4"/>
  <c r="G219" i="4"/>
  <c r="C217" i="4"/>
  <c r="C216" i="4"/>
  <c r="G213" i="4"/>
  <c r="H209" i="4"/>
  <c r="H203" i="4"/>
  <c r="C200" i="4"/>
  <c r="C199" i="4"/>
  <c r="L194" i="4"/>
  <c r="K194" i="4"/>
  <c r="J194" i="4"/>
  <c r="I194" i="4"/>
  <c r="H194" i="4"/>
  <c r="G194" i="4"/>
  <c r="G192" i="4"/>
  <c r="G187" i="4"/>
  <c r="H184" i="4"/>
  <c r="I184" i="4" s="1"/>
  <c r="J184" i="4" s="1"/>
  <c r="K184" i="4" s="1"/>
  <c r="L184" i="4" s="1"/>
  <c r="G184" i="4"/>
  <c r="G182" i="4"/>
  <c r="H179" i="4" s="1"/>
  <c r="G179" i="4"/>
  <c r="C177" i="4"/>
  <c r="C176" i="4"/>
  <c r="L157" i="4"/>
  <c r="K157" i="4"/>
  <c r="J157" i="4"/>
  <c r="I157" i="4"/>
  <c r="H157" i="4"/>
  <c r="C153" i="4"/>
  <c r="C152" i="4"/>
  <c r="G146" i="4"/>
  <c r="G147" i="4" s="1"/>
  <c r="F146" i="4"/>
  <c r="H144" i="4"/>
  <c r="I144" i="4" s="1"/>
  <c r="J144" i="4" s="1"/>
  <c r="K144" i="4" s="1"/>
  <c r="L144" i="4" s="1"/>
  <c r="H142" i="4"/>
  <c r="I142" i="4" s="1"/>
  <c r="J142" i="4" s="1"/>
  <c r="K142" i="4" s="1"/>
  <c r="L142" i="4" s="1"/>
  <c r="H140" i="4"/>
  <c r="H135" i="4"/>
  <c r="I135" i="4" s="1"/>
  <c r="J135" i="4" s="1"/>
  <c r="K135" i="4" s="1"/>
  <c r="L135" i="4" s="1"/>
  <c r="H134" i="4"/>
  <c r="I134" i="4" s="1"/>
  <c r="J134" i="4" s="1"/>
  <c r="K134" i="4" s="1"/>
  <c r="L134" i="4" s="1"/>
  <c r="I133" i="4"/>
  <c r="J133" i="4" s="1"/>
  <c r="K133" i="4" s="1"/>
  <c r="L133" i="4" s="1"/>
  <c r="H133" i="4"/>
  <c r="G131" i="4"/>
  <c r="G137" i="4" s="1"/>
  <c r="F131" i="4"/>
  <c r="F137" i="4" s="1"/>
  <c r="F147" i="4" s="1"/>
  <c r="F149" i="4" s="1"/>
  <c r="J130" i="4"/>
  <c r="I130" i="4"/>
  <c r="I167" i="4" s="1"/>
  <c r="H130" i="4"/>
  <c r="H167" i="4" s="1"/>
  <c r="H129" i="4"/>
  <c r="I129" i="4" s="1"/>
  <c r="J129" i="4" s="1"/>
  <c r="K129" i="4" s="1"/>
  <c r="L129" i="4" s="1"/>
  <c r="H127" i="4"/>
  <c r="I127" i="4" s="1"/>
  <c r="J127" i="4" s="1"/>
  <c r="K127" i="4" s="1"/>
  <c r="L127" i="4" s="1"/>
  <c r="H126" i="4"/>
  <c r="I126" i="4" s="1"/>
  <c r="J126" i="4" s="1"/>
  <c r="K126" i="4" s="1"/>
  <c r="L126" i="4" s="1"/>
  <c r="H118" i="4"/>
  <c r="I118" i="4" s="1"/>
  <c r="J118" i="4" s="1"/>
  <c r="K118" i="4" s="1"/>
  <c r="L118" i="4" s="1"/>
  <c r="H116" i="4"/>
  <c r="I116" i="4" s="1"/>
  <c r="J116" i="4" s="1"/>
  <c r="K116" i="4" s="1"/>
  <c r="L116" i="4" s="1"/>
  <c r="J114" i="4"/>
  <c r="K114" i="4" s="1"/>
  <c r="L114" i="4" s="1"/>
  <c r="I114" i="4"/>
  <c r="H114" i="4"/>
  <c r="G112" i="4"/>
  <c r="G120" i="4" s="1"/>
  <c r="G149" i="4" s="1"/>
  <c r="F112" i="4"/>
  <c r="F120" i="4" s="1"/>
  <c r="J111" i="4"/>
  <c r="K111" i="4" s="1"/>
  <c r="L111" i="4" s="1"/>
  <c r="I111" i="4"/>
  <c r="H111" i="4"/>
  <c r="H103" i="4"/>
  <c r="G103" i="4"/>
  <c r="C103" i="4"/>
  <c r="C102" i="4"/>
  <c r="D98" i="4"/>
  <c r="C98" i="4"/>
  <c r="D97" i="4"/>
  <c r="C97" i="4"/>
  <c r="D96" i="4"/>
  <c r="C96" i="4"/>
  <c r="L95" i="4"/>
  <c r="L172" i="4" s="1"/>
  <c r="K95" i="4"/>
  <c r="K172" i="4" s="1"/>
  <c r="J95" i="4"/>
  <c r="J172" i="4" s="1"/>
  <c r="I95" i="4"/>
  <c r="I172" i="4" s="1"/>
  <c r="H95" i="4"/>
  <c r="H172" i="4" s="1"/>
  <c r="G95" i="4"/>
  <c r="F95" i="4"/>
  <c r="E95" i="4"/>
  <c r="D93" i="4"/>
  <c r="C93" i="4"/>
  <c r="D92" i="4"/>
  <c r="C92" i="4"/>
  <c r="D91" i="4"/>
  <c r="C91" i="4"/>
  <c r="L90" i="4"/>
  <c r="L169" i="4" s="1"/>
  <c r="K90" i="4"/>
  <c r="K169" i="4" s="1"/>
  <c r="J90" i="4"/>
  <c r="J169" i="4" s="1"/>
  <c r="I90" i="4"/>
  <c r="I169" i="4" s="1"/>
  <c r="H90" i="4"/>
  <c r="H169" i="4" s="1"/>
  <c r="H145" i="4" s="1"/>
  <c r="G90" i="4"/>
  <c r="F90" i="4"/>
  <c r="E90" i="4"/>
  <c r="D88" i="4"/>
  <c r="C88" i="4"/>
  <c r="D87" i="4"/>
  <c r="C87" i="4"/>
  <c r="D86" i="4"/>
  <c r="C86" i="4"/>
  <c r="L85" i="4"/>
  <c r="L163" i="4" s="1"/>
  <c r="K85" i="4"/>
  <c r="K163" i="4" s="1"/>
  <c r="J85" i="4"/>
  <c r="J163" i="4" s="1"/>
  <c r="I85" i="4"/>
  <c r="I163" i="4" s="1"/>
  <c r="H85" i="4"/>
  <c r="H163" i="4" s="1"/>
  <c r="H117" i="4" s="1"/>
  <c r="G85" i="4"/>
  <c r="F85" i="4"/>
  <c r="E85" i="4"/>
  <c r="D83" i="4"/>
  <c r="C83" i="4"/>
  <c r="D82" i="4"/>
  <c r="C82" i="4"/>
  <c r="D81" i="4"/>
  <c r="C81" i="4"/>
  <c r="L80" i="4"/>
  <c r="K80" i="4"/>
  <c r="J80" i="4"/>
  <c r="I80" i="4"/>
  <c r="H80" i="4"/>
  <c r="D78" i="4"/>
  <c r="C78" i="4"/>
  <c r="D77" i="4"/>
  <c r="C77" i="4"/>
  <c r="E76" i="4"/>
  <c r="E75" i="4" s="1"/>
  <c r="D76" i="4"/>
  <c r="C76" i="4"/>
  <c r="L75" i="4"/>
  <c r="K75" i="4"/>
  <c r="J75" i="4"/>
  <c r="I75" i="4"/>
  <c r="H75" i="4"/>
  <c r="D73" i="4"/>
  <c r="C73" i="4"/>
  <c r="D72" i="4"/>
  <c r="C72" i="4"/>
  <c r="G71" i="4"/>
  <c r="G70" i="4" s="1"/>
  <c r="F71" i="4"/>
  <c r="F70" i="4" s="1"/>
  <c r="D71" i="4"/>
  <c r="C71" i="4"/>
  <c r="L70" i="4"/>
  <c r="K70" i="4"/>
  <c r="J70" i="4"/>
  <c r="I70" i="4"/>
  <c r="H70" i="4"/>
  <c r="D68" i="4"/>
  <c r="C68" i="4"/>
  <c r="D67" i="4"/>
  <c r="C67" i="4"/>
  <c r="F66" i="4"/>
  <c r="F65" i="4" s="1"/>
  <c r="D66" i="4"/>
  <c r="C66" i="4"/>
  <c r="L65" i="4"/>
  <c r="K65" i="4"/>
  <c r="J65" i="4"/>
  <c r="I65" i="4"/>
  <c r="H65" i="4"/>
  <c r="D63" i="4"/>
  <c r="C63" i="4"/>
  <c r="D62" i="4"/>
  <c r="C62" i="4"/>
  <c r="G61" i="4"/>
  <c r="F61" i="4"/>
  <c r="F60" i="4" s="1"/>
  <c r="D61" i="4"/>
  <c r="C61" i="4"/>
  <c r="L60" i="4"/>
  <c r="K60" i="4"/>
  <c r="J60" i="4"/>
  <c r="I60" i="4"/>
  <c r="H60" i="4"/>
  <c r="H22" i="4" s="1"/>
  <c r="G60" i="4"/>
  <c r="D58" i="4"/>
  <c r="C58" i="4"/>
  <c r="D57" i="4"/>
  <c r="C57" i="4"/>
  <c r="G56" i="4"/>
  <c r="F56" i="4"/>
  <c r="D56" i="4"/>
  <c r="C56" i="4"/>
  <c r="L55" i="4"/>
  <c r="K55" i="4"/>
  <c r="J55" i="4"/>
  <c r="I55" i="4"/>
  <c r="H55" i="4"/>
  <c r="H21" i="4" s="1"/>
  <c r="G55" i="4"/>
  <c r="F55" i="4"/>
  <c r="G53" i="4"/>
  <c r="F40" i="4"/>
  <c r="F50" i="4" s="1"/>
  <c r="F81" i="4" s="1"/>
  <c r="F80" i="4" s="1"/>
  <c r="H33" i="4"/>
  <c r="I33" i="4" s="1"/>
  <c r="J33" i="4" s="1"/>
  <c r="K33" i="4" s="1"/>
  <c r="L33" i="4" s="1"/>
  <c r="K32" i="4"/>
  <c r="L32" i="4" s="1"/>
  <c r="J32" i="4"/>
  <c r="H32" i="4"/>
  <c r="I32" i="4" s="1"/>
  <c r="E29" i="4"/>
  <c r="E35" i="4" s="1"/>
  <c r="E37" i="4" s="1"/>
  <c r="I28" i="4"/>
  <c r="J28" i="4" s="1"/>
  <c r="K28" i="4" s="1"/>
  <c r="L28" i="4" s="1"/>
  <c r="H28" i="4"/>
  <c r="L26" i="4"/>
  <c r="K26" i="4"/>
  <c r="J26" i="4"/>
  <c r="I26" i="4"/>
  <c r="H26" i="4"/>
  <c r="F25" i="4"/>
  <c r="F29" i="4" s="1"/>
  <c r="F35" i="4" s="1"/>
  <c r="F76" i="4" s="1"/>
  <c r="F75" i="4" s="1"/>
  <c r="G23" i="4"/>
  <c r="F23" i="4"/>
  <c r="E23" i="4"/>
  <c r="E25" i="4" s="1"/>
  <c r="E66" i="4" s="1"/>
  <c r="E65" i="4" s="1"/>
  <c r="I19" i="4"/>
  <c r="H19" i="4"/>
  <c r="G19" i="4"/>
  <c r="H18" i="4"/>
  <c r="G18" i="4"/>
  <c r="F12" i="4"/>
  <c r="D12" i="4"/>
  <c r="C2" i="4"/>
  <c r="E68" i="3"/>
  <c r="E69" i="3" s="1"/>
  <c r="E66" i="3"/>
  <c r="E65" i="3" s="1"/>
  <c r="I64" i="3"/>
  <c r="G64" i="3"/>
  <c r="F64" i="3"/>
  <c r="E60" i="3"/>
  <c r="E61" i="3" s="1"/>
  <c r="E58" i="3"/>
  <c r="E57" i="3" s="1"/>
  <c r="I56" i="3"/>
  <c r="G56" i="3"/>
  <c r="F56" i="3" s="1"/>
  <c r="D50" i="3"/>
  <c r="D47" i="3"/>
  <c r="L43" i="3"/>
  <c r="K43" i="3"/>
  <c r="J43" i="3"/>
  <c r="I43" i="3"/>
  <c r="H38" i="3"/>
  <c r="H30" i="3"/>
  <c r="H29" i="3"/>
  <c r="F29" i="3"/>
  <c r="H28" i="3"/>
  <c r="D28" i="3"/>
  <c r="F23" i="3"/>
  <c r="H44" i="2" s="1"/>
  <c r="I143" i="2" s="1"/>
  <c r="L11" i="3"/>
  <c r="L10" i="3"/>
  <c r="F12" i="3" s="1"/>
  <c r="E9" i="3"/>
  <c r="L8" i="3"/>
  <c r="F21" i="3" s="1"/>
  <c r="E8" i="3"/>
  <c r="E29" i="3" s="1"/>
  <c r="H225" i="2"/>
  <c r="J216" i="2"/>
  <c r="K216" i="2" s="1"/>
  <c r="L216" i="2" s="1"/>
  <c r="M216" i="2" s="1"/>
  <c r="I216" i="2"/>
  <c r="C202" i="2"/>
  <c r="C201" i="2"/>
  <c r="H172" i="2"/>
  <c r="H168" i="2"/>
  <c r="H167" i="2"/>
  <c r="F167" i="2"/>
  <c r="H159" i="2"/>
  <c r="C157" i="2"/>
  <c r="C156" i="2"/>
  <c r="H153" i="2"/>
  <c r="I149" i="2"/>
  <c r="C140" i="2"/>
  <c r="C139" i="2"/>
  <c r="M134" i="2"/>
  <c r="L134" i="2"/>
  <c r="K134" i="2"/>
  <c r="J134" i="2"/>
  <c r="I134" i="2"/>
  <c r="H134" i="2"/>
  <c r="H132" i="2"/>
  <c r="H127" i="2"/>
  <c r="J124" i="2"/>
  <c r="K124" i="2" s="1"/>
  <c r="L124" i="2" s="1"/>
  <c r="M124" i="2" s="1"/>
  <c r="I124" i="2"/>
  <c r="H124" i="2"/>
  <c r="H122" i="2"/>
  <c r="I119" i="2"/>
  <c r="H119" i="2"/>
  <c r="C117" i="2"/>
  <c r="C116" i="2"/>
  <c r="C92" i="2"/>
  <c r="C38" i="3" s="1"/>
  <c r="C91" i="2"/>
  <c r="C37" i="3" s="1"/>
  <c r="G85" i="2"/>
  <c r="F85" i="2"/>
  <c r="I83" i="2"/>
  <c r="J83" i="2" s="1"/>
  <c r="K83" i="2" s="1"/>
  <c r="L83" i="2" s="1"/>
  <c r="M83" i="2" s="1"/>
  <c r="I79" i="2"/>
  <c r="F76" i="2"/>
  <c r="H75" i="2"/>
  <c r="H74" i="2"/>
  <c r="I74" i="2" s="1"/>
  <c r="J74" i="2" s="1"/>
  <c r="K74" i="2" s="1"/>
  <c r="L74" i="2" s="1"/>
  <c r="M74" i="2" s="1"/>
  <c r="H73" i="2"/>
  <c r="I73" i="2" s="1"/>
  <c r="J73" i="2" s="1"/>
  <c r="K73" i="2" s="1"/>
  <c r="L73" i="2" s="1"/>
  <c r="M73" i="2" s="1"/>
  <c r="J72" i="2"/>
  <c r="K72" i="2" s="1"/>
  <c r="L72" i="2" s="1"/>
  <c r="M72" i="2" s="1"/>
  <c r="I72" i="2"/>
  <c r="H72" i="2"/>
  <c r="G69" i="2"/>
  <c r="G76" i="2" s="1"/>
  <c r="G86" i="2" s="1"/>
  <c r="F69" i="2"/>
  <c r="H67" i="2"/>
  <c r="I67" i="2" s="1"/>
  <c r="J67" i="2" s="1"/>
  <c r="K67" i="2" s="1"/>
  <c r="L67" i="2" s="1"/>
  <c r="M67" i="2" s="1"/>
  <c r="H66" i="2"/>
  <c r="I65" i="2"/>
  <c r="J65" i="2" s="1"/>
  <c r="K65" i="2" s="1"/>
  <c r="L65" i="2" s="1"/>
  <c r="M65" i="2" s="1"/>
  <c r="H65" i="2"/>
  <c r="J64" i="2"/>
  <c r="K64" i="2" s="1"/>
  <c r="L64" i="2" s="1"/>
  <c r="M64" i="2" s="1"/>
  <c r="I64" i="2"/>
  <c r="H64" i="2"/>
  <c r="H63" i="2"/>
  <c r="H62" i="2"/>
  <c r="H61" i="2"/>
  <c r="G58" i="2"/>
  <c r="G88" i="2" s="1"/>
  <c r="H57" i="2"/>
  <c r="H56" i="2"/>
  <c r="I56" i="2" s="1"/>
  <c r="J56" i="2" s="1"/>
  <c r="K56" i="2" s="1"/>
  <c r="L56" i="2" s="1"/>
  <c r="M56" i="2" s="1"/>
  <c r="H54" i="2"/>
  <c r="I54" i="2" s="1"/>
  <c r="J54" i="2" s="1"/>
  <c r="K54" i="2" s="1"/>
  <c r="L54" i="2" s="1"/>
  <c r="M54" i="2" s="1"/>
  <c r="H53" i="2"/>
  <c r="I52" i="2"/>
  <c r="J52" i="2" s="1"/>
  <c r="K52" i="2" s="1"/>
  <c r="L52" i="2" s="1"/>
  <c r="M52" i="2" s="1"/>
  <c r="H52" i="2"/>
  <c r="H51" i="2"/>
  <c r="G50" i="2"/>
  <c r="F50" i="2"/>
  <c r="F58" i="2" s="1"/>
  <c r="I49" i="2"/>
  <c r="J49" i="2" s="1"/>
  <c r="K49" i="2" s="1"/>
  <c r="L49" i="2" s="1"/>
  <c r="M49" i="2" s="1"/>
  <c r="H49" i="2"/>
  <c r="H48" i="2"/>
  <c r="H47" i="2"/>
  <c r="H46" i="2"/>
  <c r="H45" i="2"/>
  <c r="H41" i="2"/>
  <c r="C41" i="2"/>
  <c r="C40" i="2"/>
  <c r="J20" i="2"/>
  <c r="K20" i="2" s="1"/>
  <c r="L20" i="2" s="1"/>
  <c r="M20" i="2" s="1"/>
  <c r="I20" i="2"/>
  <c r="I19" i="2"/>
  <c r="J19" i="2" s="1"/>
  <c r="K19" i="2" s="1"/>
  <c r="L19" i="2" s="1"/>
  <c r="M19" i="2" s="1"/>
  <c r="I14" i="2"/>
  <c r="J14" i="2" s="1"/>
  <c r="K14" i="2" s="1"/>
  <c r="L14" i="2" s="1"/>
  <c r="M14" i="2" s="1"/>
  <c r="M12" i="2"/>
  <c r="L12" i="2"/>
  <c r="K12" i="2"/>
  <c r="J12" i="2"/>
  <c r="I12" i="2"/>
  <c r="H9" i="2"/>
  <c r="G40" i="1" s="1"/>
  <c r="G9" i="2"/>
  <c r="G27" i="2" s="1"/>
  <c r="F9" i="2"/>
  <c r="F11" i="2" s="1"/>
  <c r="E9" i="2"/>
  <c r="E11" i="2" s="1"/>
  <c r="H4" i="2"/>
  <c r="F4" i="2"/>
  <c r="I3" i="2"/>
  <c r="I116" i="2" s="1"/>
  <c r="H3" i="2"/>
  <c r="D66" i="1"/>
  <c r="C66" i="1"/>
  <c r="D65" i="1"/>
  <c r="C65" i="1"/>
  <c r="D64" i="1"/>
  <c r="C64" i="1"/>
  <c r="L63" i="1"/>
  <c r="M208" i="2" s="1"/>
  <c r="K63" i="1"/>
  <c r="J63" i="1"/>
  <c r="K208" i="2" s="1"/>
  <c r="I63" i="1"/>
  <c r="J208" i="2" s="1"/>
  <c r="H63" i="1"/>
  <c r="I208" i="2" s="1"/>
  <c r="G63" i="1"/>
  <c r="H208" i="2" s="1"/>
  <c r="F63" i="1"/>
  <c r="E63" i="1"/>
  <c r="D61" i="1"/>
  <c r="C61" i="1"/>
  <c r="D60" i="1"/>
  <c r="C60" i="1"/>
  <c r="D59" i="1"/>
  <c r="C59" i="1"/>
  <c r="L58" i="1"/>
  <c r="M109" i="2" s="1"/>
  <c r="K58" i="1"/>
  <c r="L109" i="2" s="1"/>
  <c r="J58" i="1"/>
  <c r="K109" i="2" s="1"/>
  <c r="I58" i="1"/>
  <c r="J109" i="2" s="1"/>
  <c r="H58" i="1"/>
  <c r="I109" i="2" s="1"/>
  <c r="I84" i="2" s="1"/>
  <c r="G58" i="1"/>
  <c r="F58" i="1"/>
  <c r="E58" i="1"/>
  <c r="D56" i="1"/>
  <c r="C56" i="1"/>
  <c r="D55" i="1"/>
  <c r="C55" i="1"/>
  <c r="D54" i="1"/>
  <c r="C54" i="1"/>
  <c r="L53" i="1"/>
  <c r="L69" i="1" s="1"/>
  <c r="L72" i="1" s="1"/>
  <c r="K53" i="1"/>
  <c r="L103" i="2" s="1"/>
  <c r="J53" i="1"/>
  <c r="K103" i="2" s="1"/>
  <c r="I53" i="1"/>
  <c r="J103" i="2" s="1"/>
  <c r="H53" i="1"/>
  <c r="I103" i="2" s="1"/>
  <c r="I53" i="2" s="1"/>
  <c r="G53" i="1"/>
  <c r="F53" i="1"/>
  <c r="E53" i="1"/>
  <c r="E51" i="1"/>
  <c r="D51" i="1"/>
  <c r="C51" i="1"/>
  <c r="E50" i="1"/>
  <c r="D50" i="1"/>
  <c r="C50" i="1"/>
  <c r="E49" i="1"/>
  <c r="E48" i="1" s="1"/>
  <c r="D49" i="1"/>
  <c r="C49" i="1"/>
  <c r="L48" i="1"/>
  <c r="K48" i="1"/>
  <c r="J48" i="1"/>
  <c r="I48" i="1"/>
  <c r="H48" i="1"/>
  <c r="D46" i="1"/>
  <c r="C46" i="1"/>
  <c r="D45" i="1"/>
  <c r="C45" i="1"/>
  <c r="D44" i="1"/>
  <c r="C44" i="1"/>
  <c r="L43" i="1"/>
  <c r="K43" i="1"/>
  <c r="J43" i="1"/>
  <c r="I43" i="1"/>
  <c r="H43" i="1"/>
  <c r="F41" i="1"/>
  <c r="E41" i="1"/>
  <c r="D41" i="1"/>
  <c r="C41" i="1"/>
  <c r="F40" i="1"/>
  <c r="E40" i="1"/>
  <c r="D40" i="1"/>
  <c r="C40" i="1"/>
  <c r="F39" i="1"/>
  <c r="E39" i="1"/>
  <c r="D39" i="1"/>
  <c r="C39" i="1"/>
  <c r="L38" i="1"/>
  <c r="K38" i="1"/>
  <c r="J38" i="1"/>
  <c r="I38" i="1"/>
  <c r="H38" i="1"/>
  <c r="F38" i="1"/>
  <c r="E38" i="1"/>
  <c r="D36" i="1"/>
  <c r="C36" i="1"/>
  <c r="D35" i="1"/>
  <c r="C35" i="1"/>
  <c r="D34" i="1"/>
  <c r="C34" i="1"/>
  <c r="L33" i="1"/>
  <c r="K33" i="1"/>
  <c r="J33" i="1"/>
  <c r="I33" i="1"/>
  <c r="H33" i="1"/>
  <c r="G31" i="1"/>
  <c r="F31" i="1"/>
  <c r="D31" i="1"/>
  <c r="C31" i="1"/>
  <c r="G30" i="1"/>
  <c r="F30" i="1"/>
  <c r="D30" i="1"/>
  <c r="C30" i="1"/>
  <c r="G29" i="1"/>
  <c r="F29" i="1"/>
  <c r="F28" i="1" s="1"/>
  <c r="D29" i="1"/>
  <c r="C29" i="1"/>
  <c r="L28" i="1"/>
  <c r="K28" i="1"/>
  <c r="J28" i="1"/>
  <c r="I28" i="1"/>
  <c r="H28" i="1"/>
  <c r="I7" i="2" s="1"/>
  <c r="G28" i="1"/>
  <c r="G26" i="1"/>
  <c r="F26" i="1"/>
  <c r="D26" i="1"/>
  <c r="C26" i="1"/>
  <c r="G25" i="1"/>
  <c r="F25" i="1"/>
  <c r="D25" i="1"/>
  <c r="C25" i="1"/>
  <c r="G24" i="1"/>
  <c r="G23" i="1" s="1"/>
  <c r="F24" i="1"/>
  <c r="F23" i="1" s="1"/>
  <c r="D24" i="1"/>
  <c r="C24" i="1"/>
  <c r="L23" i="1"/>
  <c r="K23" i="1"/>
  <c r="J23" i="1"/>
  <c r="I23" i="1"/>
  <c r="H23" i="1"/>
  <c r="I6" i="2" s="1"/>
  <c r="G21" i="1"/>
  <c r="F21" i="1"/>
  <c r="F12" i="1"/>
  <c r="D12" i="1"/>
  <c r="C2" i="1"/>
  <c r="E15" i="2" l="1"/>
  <c r="E34" i="1"/>
  <c r="E33" i="1" s="1"/>
  <c r="E36" i="1"/>
  <c r="E35" i="1"/>
  <c r="F86" i="2"/>
  <c r="F88" i="2" s="1"/>
  <c r="I145" i="4"/>
  <c r="J145" i="4" s="1"/>
  <c r="K145" i="4" s="1"/>
  <c r="L145" i="4" s="1"/>
  <c r="H23" i="4"/>
  <c r="H27" i="4" s="1"/>
  <c r="J112" i="2"/>
  <c r="J7" i="2"/>
  <c r="K7" i="2" s="1"/>
  <c r="L7" i="2" s="1"/>
  <c r="M7" i="2" s="1"/>
  <c r="K69" i="1"/>
  <c r="K72" i="1" s="1"/>
  <c r="K75" i="1" s="1"/>
  <c r="K78" i="1" s="1"/>
  <c r="K77" i="1" s="1"/>
  <c r="M103" i="2"/>
  <c r="I117" i="4"/>
  <c r="J117" i="4" s="1"/>
  <c r="K117" i="4" s="1"/>
  <c r="L117" i="4" s="1"/>
  <c r="I69" i="1"/>
  <c r="I72" i="1" s="1"/>
  <c r="J69" i="1"/>
  <c r="J72" i="1" s="1"/>
  <c r="L75" i="1"/>
  <c r="L78" i="1" s="1"/>
  <c r="L77" i="1" s="1"/>
  <c r="M259" i="2"/>
  <c r="J53" i="2"/>
  <c r="K53" i="2" s="1"/>
  <c r="L53" i="2" s="1"/>
  <c r="G40" i="2"/>
  <c r="H37" i="3"/>
  <c r="H139" i="2"/>
  <c r="E26" i="2"/>
  <c r="E27" i="2" s="1"/>
  <c r="E22" i="2"/>
  <c r="G176" i="4"/>
  <c r="G102" i="4"/>
  <c r="G199" i="4"/>
  <c r="G216" i="4"/>
  <c r="F18" i="4"/>
  <c r="H171" i="4"/>
  <c r="L208" i="2"/>
  <c r="L112" i="2"/>
  <c r="H69" i="1"/>
  <c r="H72" i="1" s="1"/>
  <c r="I37" i="3"/>
  <c r="I156" i="2"/>
  <c r="I182" i="2"/>
  <c r="I201" i="2" s="1"/>
  <c r="I254" i="2" s="1"/>
  <c r="J3" i="2"/>
  <c r="I131" i="2"/>
  <c r="I40" i="2"/>
  <c r="F36" i="1"/>
  <c r="F15" i="2"/>
  <c r="I91" i="2"/>
  <c r="M112" i="2"/>
  <c r="I223" i="2"/>
  <c r="H236" i="4"/>
  <c r="H199" i="4"/>
  <c r="H176" i="4"/>
  <c r="H191" i="4"/>
  <c r="H216" i="4"/>
  <c r="H102" i="4"/>
  <c r="I18" i="4"/>
  <c r="H152" i="4"/>
  <c r="H11" i="2"/>
  <c r="G41" i="1"/>
  <c r="I139" i="2"/>
  <c r="F41" i="2"/>
  <c r="F140" i="2"/>
  <c r="E4" i="2"/>
  <c r="J84" i="2"/>
  <c r="K84" i="2" s="1"/>
  <c r="L84" i="2" s="1"/>
  <c r="M84" i="2" s="1"/>
  <c r="F157" i="2"/>
  <c r="J167" i="4"/>
  <c r="K130" i="4"/>
  <c r="F35" i="1"/>
  <c r="H157" i="2"/>
  <c r="G41" i="2"/>
  <c r="F117" i="2"/>
  <c r="I200" i="4"/>
  <c r="I217" i="4"/>
  <c r="I177" i="4"/>
  <c r="I153" i="4"/>
  <c r="I237" i="4"/>
  <c r="I103" i="4"/>
  <c r="J171" i="4"/>
  <c r="I4" i="2"/>
  <c r="J79" i="2"/>
  <c r="H117" i="2"/>
  <c r="J19" i="4"/>
  <c r="G39" i="1"/>
  <c r="G38" i="1" s="1"/>
  <c r="H50" i="2"/>
  <c r="H140" i="2"/>
  <c r="H156" i="2"/>
  <c r="F37" i="4"/>
  <c r="F34" i="1"/>
  <c r="F33" i="1" s="1"/>
  <c r="F3" i="2"/>
  <c r="J6" i="2"/>
  <c r="H116" i="2"/>
  <c r="I22" i="4"/>
  <c r="H237" i="4"/>
  <c r="H153" i="4"/>
  <c r="H177" i="4"/>
  <c r="H200" i="4"/>
  <c r="E71" i="4"/>
  <c r="E70" i="4" s="1"/>
  <c r="E40" i="4"/>
  <c r="E81" i="4"/>
  <c r="E80" i="4" s="1"/>
  <c r="I171" i="4"/>
  <c r="G49" i="5"/>
  <c r="G144" i="5"/>
  <c r="G46" i="5"/>
  <c r="J211" i="5" s="1"/>
  <c r="G23" i="5"/>
  <c r="G21" i="5"/>
  <c r="K144" i="5"/>
  <c r="K46" i="5"/>
  <c r="K23" i="5"/>
  <c r="K21" i="5"/>
  <c r="E103" i="5"/>
  <c r="E105" i="5" s="1"/>
  <c r="I21" i="4"/>
  <c r="J21" i="4" s="1"/>
  <c r="K21" i="4" s="1"/>
  <c r="L21" i="4" s="1"/>
  <c r="I112" i="2"/>
  <c r="E30" i="3"/>
  <c r="G25" i="4"/>
  <c r="F53" i="4"/>
  <c r="K112" i="2"/>
  <c r="F19" i="4"/>
  <c r="G177" i="4"/>
  <c r="G217" i="4"/>
  <c r="G200" i="4"/>
  <c r="H217" i="4"/>
  <c r="J19" i="5"/>
  <c r="I19" i="5"/>
  <c r="E25" i="6"/>
  <c r="E44" i="6"/>
  <c r="F173" i="5"/>
  <c r="F133" i="5"/>
  <c r="E15" i="5"/>
  <c r="F59" i="5"/>
  <c r="G15" i="5"/>
  <c r="D49" i="6"/>
  <c r="D163" i="6"/>
  <c r="D123" i="6"/>
  <c r="D146" i="6"/>
  <c r="D53" i="5"/>
  <c r="D55" i="5"/>
  <c r="D21" i="5"/>
  <c r="I86" i="5"/>
  <c r="F156" i="5"/>
  <c r="H115" i="4"/>
  <c r="I115" i="4" s="1"/>
  <c r="J115" i="4" s="1"/>
  <c r="K115" i="4" s="1"/>
  <c r="L115" i="4" s="1"/>
  <c r="I140" i="4"/>
  <c r="E53" i="5"/>
  <c r="E49" i="5"/>
  <c r="E21" i="5"/>
  <c r="F49" i="5"/>
  <c r="H96" i="5"/>
  <c r="G19" i="6"/>
  <c r="F155" i="5"/>
  <c r="F58" i="5"/>
  <c r="F172" i="5"/>
  <c r="E14" i="5"/>
  <c r="G14" i="5"/>
  <c r="I19" i="6"/>
  <c r="J18" i="6"/>
  <c r="H19" i="5"/>
  <c r="H136" i="5" s="1"/>
  <c r="E231" i="5"/>
  <c r="H28" i="5"/>
  <c r="I28" i="5" s="1"/>
  <c r="J28" i="5" s="1"/>
  <c r="K28" i="5" s="1"/>
  <c r="F132" i="5"/>
  <c r="D163" i="7"/>
  <c r="D146" i="7"/>
  <c r="D123" i="7"/>
  <c r="D49" i="7"/>
  <c r="G136" i="5"/>
  <c r="K136" i="5"/>
  <c r="F21" i="5"/>
  <c r="D164" i="6"/>
  <c r="D124" i="6"/>
  <c r="D50" i="6"/>
  <c r="D147" i="6"/>
  <c r="F44" i="6"/>
  <c r="F25" i="6"/>
  <c r="E96" i="6"/>
  <c r="H19" i="6"/>
  <c r="D25" i="6"/>
  <c r="J87" i="6"/>
  <c r="E31" i="7"/>
  <c r="E36" i="7"/>
  <c r="E38" i="7" s="1"/>
  <c r="H37" i="6"/>
  <c r="H89" i="6" s="1"/>
  <c r="J77" i="6"/>
  <c r="G124" i="6"/>
  <c r="I18" i="7"/>
  <c r="H19" i="7"/>
  <c r="F96" i="7"/>
  <c r="E96" i="7"/>
  <c r="E123" i="7"/>
  <c r="E163" i="7"/>
  <c r="E49" i="7"/>
  <c r="E146" i="7"/>
  <c r="E163" i="6"/>
  <c r="E123" i="6"/>
  <c r="E146" i="6"/>
  <c r="E124" i="6"/>
  <c r="E164" i="6"/>
  <c r="E147" i="6"/>
  <c r="G100" i="6"/>
  <c r="G163" i="6"/>
  <c r="E124" i="7"/>
  <c r="E164" i="7"/>
  <c r="E147" i="7"/>
  <c r="E50" i="7"/>
  <c r="D15" i="7"/>
  <c r="F21" i="7"/>
  <c r="F45" i="7"/>
  <c r="F41" i="7"/>
  <c r="E49" i="6"/>
  <c r="E50" i="6"/>
  <c r="H114" i="6"/>
  <c r="H118" i="6" s="1"/>
  <c r="G123" i="6"/>
  <c r="F147" i="7"/>
  <c r="G15" i="7"/>
  <c r="F164" i="7"/>
  <c r="F124" i="7"/>
  <c r="F50" i="7"/>
  <c r="I127" i="6"/>
  <c r="H127" i="6"/>
  <c r="F45" i="6"/>
  <c r="H14" i="6"/>
  <c r="H15" i="6"/>
  <c r="G49" i="6"/>
  <c r="G127" i="6"/>
  <c r="G138" i="6"/>
  <c r="G146" i="6"/>
  <c r="G164" i="6"/>
  <c r="D31" i="7"/>
  <c r="D36" i="7"/>
  <c r="D38" i="7" s="1"/>
  <c r="I77" i="7"/>
  <c r="H114" i="7"/>
  <c r="H118" i="7" s="1"/>
  <c r="H147" i="8"/>
  <c r="H164" i="8"/>
  <c r="H124" i="8"/>
  <c r="H100" i="8"/>
  <c r="H50" i="8"/>
  <c r="D44" i="8"/>
  <c r="D25" i="8"/>
  <c r="G54" i="8"/>
  <c r="G71" i="8"/>
  <c r="G75" i="8"/>
  <c r="G55" i="8"/>
  <c r="G57" i="8"/>
  <c r="G66" i="8"/>
  <c r="G83" i="8"/>
  <c r="I77" i="8"/>
  <c r="H114" i="8"/>
  <c r="H118" i="8" s="1"/>
  <c r="F146" i="6"/>
  <c r="F147" i="6"/>
  <c r="E123" i="8"/>
  <c r="D14" i="8"/>
  <c r="E49" i="8"/>
  <c r="E163" i="8"/>
  <c r="E146" i="8"/>
  <c r="I15" i="8"/>
  <c r="H120" i="9"/>
  <c r="H160" i="9"/>
  <c r="H46" i="9"/>
  <c r="H96" i="9"/>
  <c r="I15" i="9"/>
  <c r="H143" i="9"/>
  <c r="G138" i="8"/>
  <c r="G146" i="8"/>
  <c r="G163" i="8"/>
  <c r="G123" i="8"/>
  <c r="I37" i="8"/>
  <c r="G99" i="8"/>
  <c r="F123" i="7"/>
  <c r="F49" i="7"/>
  <c r="G14" i="7"/>
  <c r="G19" i="7"/>
  <c r="H89" i="7"/>
  <c r="H14" i="8"/>
  <c r="G49" i="8"/>
  <c r="H37" i="7"/>
  <c r="H87" i="7"/>
  <c r="G135" i="8"/>
  <c r="G23" i="8"/>
  <c r="G21" i="8"/>
  <c r="G72" i="8"/>
  <c r="I18" i="8"/>
  <c r="H19" i="8"/>
  <c r="D15" i="9"/>
  <c r="E143" i="9"/>
  <c r="E46" i="9"/>
  <c r="E120" i="9"/>
  <c r="E160" i="9"/>
  <c r="G104" i="7"/>
  <c r="F163" i="7"/>
  <c r="G124" i="8"/>
  <c r="G147" i="8"/>
  <c r="G164" i="8"/>
  <c r="G100" i="8"/>
  <c r="G50" i="8"/>
  <c r="K87" i="8"/>
  <c r="G66" i="9"/>
  <c r="G52" i="9"/>
  <c r="I134" i="10"/>
  <c r="I142" i="10"/>
  <c r="I159" i="10"/>
  <c r="I119" i="10"/>
  <c r="I95" i="10"/>
  <c r="J14" i="10"/>
  <c r="I45" i="10"/>
  <c r="I100" i="9"/>
  <c r="J35" i="9"/>
  <c r="J83" i="9"/>
  <c r="J85" i="9"/>
  <c r="E44" i="8"/>
  <c r="E25" i="8"/>
  <c r="E159" i="9"/>
  <c r="D14" i="9"/>
  <c r="E119" i="9"/>
  <c r="G103" i="9"/>
  <c r="H62" i="9"/>
  <c r="K79" i="9"/>
  <c r="K104" i="9" s="1"/>
  <c r="J104" i="9"/>
  <c r="E142" i="9"/>
  <c r="F21" i="8"/>
  <c r="H21" i="9"/>
  <c r="H23" i="9" s="1"/>
  <c r="I17" i="9"/>
  <c r="H131" i="9"/>
  <c r="E92" i="9"/>
  <c r="I104" i="9"/>
  <c r="E124" i="8"/>
  <c r="D15" i="8"/>
  <c r="H89" i="8"/>
  <c r="I89" i="8" s="1"/>
  <c r="G127" i="8"/>
  <c r="E45" i="9"/>
  <c r="I73" i="9"/>
  <c r="H123" i="9"/>
  <c r="D42" i="10"/>
  <c r="D31" i="10"/>
  <c r="H127" i="8"/>
  <c r="H119" i="9"/>
  <c r="H95" i="9"/>
  <c r="H159" i="9"/>
  <c r="H45" i="9"/>
  <c r="H134" i="9"/>
  <c r="I14" i="9"/>
  <c r="H18" i="9"/>
  <c r="H142" i="9"/>
  <c r="D45" i="8"/>
  <c r="F90" i="9"/>
  <c r="F92" i="9" s="1"/>
  <c r="E160" i="10"/>
  <c r="E120" i="10"/>
  <c r="D15" i="10"/>
  <c r="E46" i="10"/>
  <c r="E143" i="10"/>
  <c r="G66" i="10"/>
  <c r="G52" i="10"/>
  <c r="I103" i="10"/>
  <c r="J62" i="10"/>
  <c r="K83" i="10"/>
  <c r="H131" i="11"/>
  <c r="H21" i="11"/>
  <c r="I17" i="11"/>
  <c r="I131" i="11" s="1"/>
  <c r="H19" i="11"/>
  <c r="G160" i="10"/>
  <c r="G96" i="10"/>
  <c r="G46" i="10"/>
  <c r="G120" i="10"/>
  <c r="E45" i="10"/>
  <c r="E159" i="10"/>
  <c r="E119" i="10"/>
  <c r="E142" i="10"/>
  <c r="D14" i="10"/>
  <c r="H15" i="10"/>
  <c r="D31" i="9"/>
  <c r="G101" i="9"/>
  <c r="H50" i="9"/>
  <c r="F23" i="10"/>
  <c r="G101" i="10"/>
  <c r="H50" i="10"/>
  <c r="J50" i="11"/>
  <c r="G159" i="10"/>
  <c r="G119" i="10"/>
  <c r="G95" i="10"/>
  <c r="G45" i="10"/>
  <c r="G142" i="10"/>
  <c r="E94" i="8"/>
  <c r="E96" i="8" s="1"/>
  <c r="G21" i="9"/>
  <c r="G23" i="9" s="1"/>
  <c r="G123" i="9"/>
  <c r="F23" i="9"/>
  <c r="G131" i="9"/>
  <c r="H134" i="10"/>
  <c r="H142" i="10"/>
  <c r="I17" i="10"/>
  <c r="H131" i="10"/>
  <c r="H19" i="10"/>
  <c r="H123" i="10"/>
  <c r="J110" i="11"/>
  <c r="J73" i="11"/>
  <c r="H17" i="12"/>
  <c r="G21" i="12"/>
  <c r="G123" i="12"/>
  <c r="G19" i="12"/>
  <c r="I50" i="12"/>
  <c r="G19" i="11"/>
  <c r="G21" i="11"/>
  <c r="J75" i="11"/>
  <c r="K75" i="11" s="1"/>
  <c r="I110" i="11"/>
  <c r="G131" i="11"/>
  <c r="D120" i="11"/>
  <c r="D166" i="11"/>
  <c r="D149" i="11"/>
  <c r="H104" i="11"/>
  <c r="I79" i="11"/>
  <c r="I136" i="11"/>
  <c r="E92" i="10"/>
  <c r="I73" i="10"/>
  <c r="I79" i="10"/>
  <c r="I135" i="11"/>
  <c r="H103" i="11"/>
  <c r="H138" i="11"/>
  <c r="H137" i="11" s="1"/>
  <c r="I62" i="11"/>
  <c r="F127" i="11"/>
  <c r="G127" i="11" s="1"/>
  <c r="F130" i="11"/>
  <c r="H131" i="12"/>
  <c r="G123" i="10"/>
  <c r="G110" i="11"/>
  <c r="D119" i="11"/>
  <c r="D165" i="11"/>
  <c r="D148" i="11"/>
  <c r="E120" i="11"/>
  <c r="E166" i="11"/>
  <c r="E149" i="11"/>
  <c r="D143" i="12"/>
  <c r="D160" i="12"/>
  <c r="D120" i="12"/>
  <c r="D46" i="12"/>
  <c r="E165" i="11"/>
  <c r="E148" i="11"/>
  <c r="F120" i="11"/>
  <c r="F166" i="11"/>
  <c r="F149" i="11"/>
  <c r="D29" i="11"/>
  <c r="D40" i="11"/>
  <c r="E119" i="11"/>
  <c r="H59" i="12"/>
  <c r="I59" i="12" s="1"/>
  <c r="J59" i="12" s="1"/>
  <c r="K59" i="12" s="1"/>
  <c r="F148" i="11"/>
  <c r="F119" i="11"/>
  <c r="G15" i="11"/>
  <c r="E29" i="11"/>
  <c r="E45" i="11"/>
  <c r="E46" i="11"/>
  <c r="K136" i="11"/>
  <c r="F120" i="10"/>
  <c r="G14" i="11"/>
  <c r="F29" i="11"/>
  <c r="F45" i="11"/>
  <c r="F46" i="11"/>
  <c r="G138" i="11"/>
  <c r="G137" i="11" s="1"/>
  <c r="D142" i="12"/>
  <c r="D159" i="12"/>
  <c r="D119" i="12"/>
  <c r="G104" i="12"/>
  <c r="H79" i="12"/>
  <c r="I85" i="12"/>
  <c r="J85" i="12" s="1"/>
  <c r="D31" i="12"/>
  <c r="D42" i="12"/>
  <c r="J62" i="12"/>
  <c r="I103" i="12"/>
  <c r="I73" i="12"/>
  <c r="H110" i="12"/>
  <c r="H114" i="12" s="1"/>
  <c r="E90" i="12"/>
  <c r="E92" i="12" s="1"/>
  <c r="G131" i="12"/>
  <c r="E142" i="12"/>
  <c r="E159" i="12"/>
  <c r="E119" i="12"/>
  <c r="E45" i="12"/>
  <c r="G160" i="12"/>
  <c r="G120" i="12"/>
  <c r="G96" i="12"/>
  <c r="G46" i="12"/>
  <c r="G143" i="12"/>
  <c r="H15" i="12"/>
  <c r="H58" i="12"/>
  <c r="I58" i="12" s="1"/>
  <c r="J58" i="12" s="1"/>
  <c r="K58" i="12" s="1"/>
  <c r="E40" i="12"/>
  <c r="E23" i="12"/>
  <c r="F34" i="12"/>
  <c r="F36" i="12" s="1"/>
  <c r="F29" i="12"/>
  <c r="G170" i="12"/>
  <c r="G172" i="12" s="1"/>
  <c r="G159" i="12"/>
  <c r="G119" i="12"/>
  <c r="G95" i="12"/>
  <c r="G134" i="12"/>
  <c r="H14" i="12"/>
  <c r="H75" i="12"/>
  <c r="G110" i="12"/>
  <c r="G114" i="12" s="1"/>
  <c r="F127" i="12"/>
  <c r="G127" i="12" s="1"/>
  <c r="H127" i="12" s="1"/>
  <c r="I127" i="12" s="1"/>
  <c r="J127" i="12" s="1"/>
  <c r="K127" i="12" s="1"/>
  <c r="F119" i="12"/>
  <c r="E120" i="12"/>
  <c r="F159" i="12"/>
  <c r="E160" i="12"/>
  <c r="F120" i="12"/>
  <c r="H188" i="4" l="1"/>
  <c r="H180" i="4"/>
  <c r="H164" i="4" s="1"/>
  <c r="H50" i="4"/>
  <c r="K255" i="4" s="1"/>
  <c r="F260" i="4" s="1"/>
  <c r="H25" i="4"/>
  <c r="H29" i="4" s="1"/>
  <c r="H53" i="4"/>
  <c r="H124" i="4" s="1"/>
  <c r="L258" i="2"/>
  <c r="M258" i="2" s="1"/>
  <c r="M266" i="2" s="1"/>
  <c r="M53" i="2"/>
  <c r="H120" i="5"/>
  <c r="H137" i="5"/>
  <c r="H145" i="5" s="1"/>
  <c r="H35" i="5" s="1"/>
  <c r="H112" i="5" s="1"/>
  <c r="I89" i="6"/>
  <c r="H96" i="12"/>
  <c r="H46" i="12"/>
  <c r="I15" i="12"/>
  <c r="H120" i="12"/>
  <c r="H143" i="12"/>
  <c r="H160" i="12"/>
  <c r="K85" i="12"/>
  <c r="E31" i="11"/>
  <c r="E42" i="11"/>
  <c r="J135" i="11"/>
  <c r="I103" i="11"/>
  <c r="J62" i="11"/>
  <c r="I138" i="11"/>
  <c r="I137" i="11" s="1"/>
  <c r="G23" i="11"/>
  <c r="G18" i="11"/>
  <c r="H66" i="10"/>
  <c r="G102" i="10"/>
  <c r="G74" i="10"/>
  <c r="H128" i="6"/>
  <c r="H136" i="6" s="1"/>
  <c r="H35" i="6" s="1"/>
  <c r="H103" i="6" s="1"/>
  <c r="H111" i="6"/>
  <c r="H112" i="6" s="1"/>
  <c r="J114" i="6"/>
  <c r="J118" i="6" s="1"/>
  <c r="K77" i="6"/>
  <c r="K114" i="6" s="1"/>
  <c r="K118" i="6" s="1"/>
  <c r="F52" i="5"/>
  <c r="F25" i="5"/>
  <c r="G147" i="5"/>
  <c r="G192" i="5"/>
  <c r="G172" i="5"/>
  <c r="G132" i="5"/>
  <c r="G108" i="5"/>
  <c r="G155" i="5"/>
  <c r="H14" i="5"/>
  <c r="G58" i="5"/>
  <c r="E25" i="5"/>
  <c r="E52" i="5"/>
  <c r="J86" i="5"/>
  <c r="I123" i="5"/>
  <c r="I127" i="5" s="1"/>
  <c r="G173" i="5"/>
  <c r="G193" i="5"/>
  <c r="G156" i="5"/>
  <c r="G133" i="5"/>
  <c r="G59" i="5"/>
  <c r="H15" i="5"/>
  <c r="G109" i="5"/>
  <c r="I144" i="5"/>
  <c r="I23" i="5"/>
  <c r="I21" i="5"/>
  <c r="I136" i="5"/>
  <c r="I49" i="5"/>
  <c r="I46" i="5"/>
  <c r="G81" i="5"/>
  <c r="G63" i="5"/>
  <c r="G75" i="5"/>
  <c r="G84" i="5"/>
  <c r="G92" i="5"/>
  <c r="G80" i="5"/>
  <c r="G64" i="5"/>
  <c r="G66" i="5"/>
  <c r="F139" i="2"/>
  <c r="F156" i="2"/>
  <c r="E3" i="2"/>
  <c r="F116" i="2"/>
  <c r="F40" i="2"/>
  <c r="I37" i="6"/>
  <c r="H104" i="6"/>
  <c r="K137" i="5"/>
  <c r="K145" i="5" s="1"/>
  <c r="K35" i="5" s="1"/>
  <c r="K112" i="5" s="1"/>
  <c r="K120" i="5"/>
  <c r="E155" i="5"/>
  <c r="E58" i="5"/>
  <c r="E172" i="5"/>
  <c r="E132" i="5"/>
  <c r="D14" i="5"/>
  <c r="D25" i="5"/>
  <c r="D52" i="5"/>
  <c r="J21" i="5"/>
  <c r="J46" i="5"/>
  <c r="J49" i="5"/>
  <c r="J23" i="5"/>
  <c r="J136" i="5"/>
  <c r="J144" i="5"/>
  <c r="F29" i="10"/>
  <c r="F34" i="10"/>
  <c r="F36" i="10" s="1"/>
  <c r="H128" i="8"/>
  <c r="H136" i="8" s="1"/>
  <c r="H35" i="8" s="1"/>
  <c r="H103" i="8" s="1"/>
  <c r="H111" i="8"/>
  <c r="H112" i="8" s="1"/>
  <c r="G128" i="8"/>
  <c r="G136" i="8" s="1"/>
  <c r="G35" i="8" s="1"/>
  <c r="G103" i="8" s="1"/>
  <c r="G111" i="8"/>
  <c r="G112" i="8" s="1"/>
  <c r="J17" i="9"/>
  <c r="I21" i="9"/>
  <c r="I19" i="9"/>
  <c r="I123" i="9"/>
  <c r="I131" i="9"/>
  <c r="I119" i="9"/>
  <c r="I95" i="9"/>
  <c r="I45" i="9"/>
  <c r="I134" i="9"/>
  <c r="J14" i="9"/>
  <c r="I142" i="9"/>
  <c r="I159" i="9"/>
  <c r="I62" i="9"/>
  <c r="H103" i="9"/>
  <c r="G146" i="7"/>
  <c r="G138" i="7"/>
  <c r="G99" i="7"/>
  <c r="G49" i="7"/>
  <c r="H14" i="7"/>
  <c r="G163" i="7"/>
  <c r="G123" i="7"/>
  <c r="I147" i="8"/>
  <c r="I164" i="8"/>
  <c r="I50" i="8"/>
  <c r="I100" i="8"/>
  <c r="I124" i="8"/>
  <c r="J15" i="8"/>
  <c r="G128" i="6"/>
  <c r="G136" i="6" s="1"/>
  <c r="G35" i="6" s="1"/>
  <c r="G103" i="6" s="1"/>
  <c r="G111" i="6"/>
  <c r="G112" i="6" s="1"/>
  <c r="F36" i="6"/>
  <c r="F31" i="6"/>
  <c r="G120" i="5"/>
  <c r="G137" i="5"/>
  <c r="G145" i="5" s="1"/>
  <c r="G35" i="5" s="1"/>
  <c r="G112" i="5" s="1"/>
  <c r="E156" i="5"/>
  <c r="E59" i="5"/>
  <c r="E173" i="5"/>
  <c r="D15" i="5"/>
  <c r="E133" i="5"/>
  <c r="G35" i="1"/>
  <c r="H15" i="2"/>
  <c r="G36" i="1"/>
  <c r="G34" i="1"/>
  <c r="G33" i="1" s="1"/>
  <c r="F26" i="2"/>
  <c r="F22" i="2"/>
  <c r="I255" i="2"/>
  <c r="I260" i="2" s="1"/>
  <c r="I8" i="2" s="1"/>
  <c r="I9" i="2" s="1"/>
  <c r="J255" i="2"/>
  <c r="H75" i="1"/>
  <c r="H78" i="1" s="1"/>
  <c r="I263" i="2" s="1"/>
  <c r="G166" i="11"/>
  <c r="G149" i="11"/>
  <c r="H15" i="11"/>
  <c r="G96" i="11"/>
  <c r="G46" i="11"/>
  <c r="G120" i="11"/>
  <c r="E34" i="12"/>
  <c r="E36" i="12" s="1"/>
  <c r="E29" i="12"/>
  <c r="G119" i="11"/>
  <c r="G165" i="11"/>
  <c r="G148" i="11"/>
  <c r="H14" i="11"/>
  <c r="G45" i="11"/>
  <c r="G95" i="11"/>
  <c r="G124" i="10"/>
  <c r="G132" i="10" s="1"/>
  <c r="G33" i="10" s="1"/>
  <c r="G107" i="10"/>
  <c r="G108" i="10" s="1"/>
  <c r="G23" i="12"/>
  <c r="G18" i="12"/>
  <c r="H23" i="10"/>
  <c r="H18" i="10"/>
  <c r="G34" i="9"/>
  <c r="G36" i="9" s="1"/>
  <c r="D46" i="10"/>
  <c r="D160" i="10"/>
  <c r="D120" i="10"/>
  <c r="D143" i="10"/>
  <c r="D164" i="8"/>
  <c r="D124" i="8"/>
  <c r="D50" i="8"/>
  <c r="D147" i="8"/>
  <c r="F44" i="8"/>
  <c r="F25" i="8"/>
  <c r="J100" i="9"/>
  <c r="K35" i="9"/>
  <c r="K100" i="9" s="1"/>
  <c r="G129" i="8"/>
  <c r="J77" i="8"/>
  <c r="I114" i="8"/>
  <c r="I118" i="8" s="1"/>
  <c r="D36" i="8"/>
  <c r="D38" i="8" s="1"/>
  <c r="D31" i="8"/>
  <c r="I114" i="7"/>
  <c r="I118" i="7" s="1"/>
  <c r="J77" i="7"/>
  <c r="D124" i="7"/>
  <c r="D164" i="7"/>
  <c r="D147" i="7"/>
  <c r="D50" i="7"/>
  <c r="E33" i="7"/>
  <c r="E46" i="7"/>
  <c r="J140" i="4"/>
  <c r="G138" i="5"/>
  <c r="K49" i="5"/>
  <c r="E140" i="2"/>
  <c r="E157" i="2"/>
  <c r="E41" i="2"/>
  <c r="E117" i="2"/>
  <c r="M267" i="2"/>
  <c r="M271" i="2"/>
  <c r="E36" i="8"/>
  <c r="E38" i="8" s="1"/>
  <c r="E31" i="8"/>
  <c r="K83" i="9"/>
  <c r="G20" i="8"/>
  <c r="G25" i="8"/>
  <c r="G135" i="7"/>
  <c r="G23" i="7"/>
  <c r="G41" i="7"/>
  <c r="G21" i="7"/>
  <c r="H71" i="8"/>
  <c r="I128" i="6"/>
  <c r="I136" i="6" s="1"/>
  <c r="I35" i="6" s="1"/>
  <c r="I103" i="6" s="1"/>
  <c r="I111" i="6"/>
  <c r="I112" i="6" s="1"/>
  <c r="G124" i="9"/>
  <c r="G132" i="9" s="1"/>
  <c r="G33" i="9" s="1"/>
  <c r="G99" i="9" s="1"/>
  <c r="G107" i="9"/>
  <c r="G108" i="9" s="1"/>
  <c r="G125" i="9"/>
  <c r="G25" i="5"/>
  <c r="G20" i="5"/>
  <c r="J22" i="4"/>
  <c r="I23" i="4"/>
  <c r="K79" i="2"/>
  <c r="J75" i="1"/>
  <c r="J78" i="1" s="1"/>
  <c r="J77" i="1" s="1"/>
  <c r="K257" i="2"/>
  <c r="E45" i="1"/>
  <c r="E46" i="1"/>
  <c r="E44" i="1"/>
  <c r="E43" i="1" s="1"/>
  <c r="E24" i="2"/>
  <c r="H124" i="10"/>
  <c r="H132" i="10" s="1"/>
  <c r="H33" i="10" s="1"/>
  <c r="H99" i="10" s="1"/>
  <c r="H107" i="10"/>
  <c r="H108" i="10" s="1"/>
  <c r="F29" i="9"/>
  <c r="F34" i="9"/>
  <c r="F36" i="9" s="1"/>
  <c r="I50" i="9"/>
  <c r="J103" i="12"/>
  <c r="K62" i="12"/>
  <c r="K103" i="12" s="1"/>
  <c r="G107" i="12"/>
  <c r="G108" i="12" s="1"/>
  <c r="G124" i="12"/>
  <c r="I110" i="10"/>
  <c r="I114" i="10" s="1"/>
  <c r="J73" i="10"/>
  <c r="I123" i="10"/>
  <c r="I131" i="10"/>
  <c r="I19" i="10"/>
  <c r="I21" i="10"/>
  <c r="J17" i="10"/>
  <c r="K50" i="11"/>
  <c r="D159" i="10"/>
  <c r="D45" i="10"/>
  <c r="D119" i="10"/>
  <c r="D142" i="10"/>
  <c r="J103" i="10"/>
  <c r="K62" i="10"/>
  <c r="K103" i="10" s="1"/>
  <c r="J73" i="9"/>
  <c r="I110" i="9"/>
  <c r="I114" i="9" s="1"/>
  <c r="H66" i="9"/>
  <c r="G74" i="9"/>
  <c r="G102" i="9"/>
  <c r="D160" i="9"/>
  <c r="D143" i="9"/>
  <c r="D120" i="9"/>
  <c r="D46" i="9"/>
  <c r="H104" i="7"/>
  <c r="I37" i="7"/>
  <c r="I143" i="9"/>
  <c r="I96" i="9"/>
  <c r="I160" i="9"/>
  <c r="I46" i="9"/>
  <c r="I120" i="9"/>
  <c r="J15" i="9"/>
  <c r="G107" i="8"/>
  <c r="H49" i="6"/>
  <c r="H123" i="6"/>
  <c r="H163" i="6"/>
  <c r="H146" i="6"/>
  <c r="H138" i="6"/>
  <c r="H99" i="6"/>
  <c r="I14" i="6"/>
  <c r="G147" i="7"/>
  <c r="G100" i="7"/>
  <c r="G164" i="7"/>
  <c r="G124" i="7"/>
  <c r="G50" i="7"/>
  <c r="H15" i="7"/>
  <c r="F25" i="7"/>
  <c r="F44" i="7"/>
  <c r="H21" i="7"/>
  <c r="H135" i="7"/>
  <c r="H23" i="7"/>
  <c r="H41" i="7"/>
  <c r="G135" i="6"/>
  <c r="G21" i="6"/>
  <c r="G23" i="6"/>
  <c r="G41" i="6"/>
  <c r="L130" i="4"/>
  <c r="L167" i="4" s="1"/>
  <c r="L171" i="4" s="1"/>
  <c r="K167" i="4"/>
  <c r="K171" i="4" s="1"/>
  <c r="I216" i="4"/>
  <c r="I199" i="4"/>
  <c r="I176" i="4"/>
  <c r="I236" i="4"/>
  <c r="I191" i="4"/>
  <c r="I102" i="4"/>
  <c r="J18" i="4"/>
  <c r="I152" i="4"/>
  <c r="I21" i="11"/>
  <c r="J17" i="11"/>
  <c r="I19" i="11"/>
  <c r="J73" i="12"/>
  <c r="I110" i="12"/>
  <c r="I114" i="12" s="1"/>
  <c r="J79" i="10"/>
  <c r="I104" i="10"/>
  <c r="H96" i="10"/>
  <c r="H143" i="10"/>
  <c r="H120" i="10"/>
  <c r="H160" i="10"/>
  <c r="I15" i="10"/>
  <c r="H46" i="10"/>
  <c r="H124" i="9"/>
  <c r="H132" i="9" s="1"/>
  <c r="H33" i="9" s="1"/>
  <c r="H99" i="9" s="1"/>
  <c r="H107" i="9"/>
  <c r="H108" i="9" s="1"/>
  <c r="H52" i="9"/>
  <c r="I87" i="7"/>
  <c r="G108" i="8"/>
  <c r="H83" i="8"/>
  <c r="H124" i="6"/>
  <c r="H50" i="6"/>
  <c r="H100" i="6"/>
  <c r="H147" i="6"/>
  <c r="H164" i="6"/>
  <c r="I15" i="6"/>
  <c r="K87" i="6"/>
  <c r="H144" i="5"/>
  <c r="H23" i="5"/>
  <c r="H21" i="5"/>
  <c r="H49" i="5"/>
  <c r="H46" i="5"/>
  <c r="D159" i="9"/>
  <c r="D142" i="9"/>
  <c r="D45" i="9"/>
  <c r="D119" i="9"/>
  <c r="K85" i="9"/>
  <c r="J134" i="10"/>
  <c r="J142" i="10"/>
  <c r="K14" i="10"/>
  <c r="J119" i="10"/>
  <c r="J95" i="10"/>
  <c r="J45" i="10"/>
  <c r="J159" i="10"/>
  <c r="H135" i="8"/>
  <c r="H23" i="8"/>
  <c r="H41" i="8"/>
  <c r="H66" i="8" s="1"/>
  <c r="H21" i="8"/>
  <c r="I104" i="8"/>
  <c r="J37" i="8"/>
  <c r="D163" i="8"/>
  <c r="D123" i="8"/>
  <c r="D49" i="8"/>
  <c r="D146" i="8"/>
  <c r="H57" i="8"/>
  <c r="D46" i="7"/>
  <c r="D33" i="7"/>
  <c r="G127" i="7"/>
  <c r="J18" i="7"/>
  <c r="I19" i="7"/>
  <c r="D31" i="6"/>
  <c r="D36" i="6"/>
  <c r="K18" i="6"/>
  <c r="K19" i="6" s="1"/>
  <c r="J19" i="6"/>
  <c r="I96" i="5"/>
  <c r="E36" i="6"/>
  <c r="E31" i="6"/>
  <c r="G29" i="4"/>
  <c r="G66" i="4"/>
  <c r="G65" i="4" s="1"/>
  <c r="E217" i="5"/>
  <c r="E216" i="5"/>
  <c r="J214" i="5"/>
  <c r="I38" i="3"/>
  <c r="I117" i="2"/>
  <c r="J4" i="2"/>
  <c r="I157" i="2"/>
  <c r="I92" i="2"/>
  <c r="I140" i="2"/>
  <c r="I41" i="2"/>
  <c r="I183" i="2"/>
  <c r="I202" i="2" s="1"/>
  <c r="K3" i="2"/>
  <c r="J116" i="2"/>
  <c r="J37" i="3"/>
  <c r="J156" i="2"/>
  <c r="J182" i="2"/>
  <c r="J201" i="2" s="1"/>
  <c r="J254" i="2" s="1"/>
  <c r="J131" i="2"/>
  <c r="J139" i="2"/>
  <c r="J91" i="2"/>
  <c r="J40" i="2"/>
  <c r="I79" i="12"/>
  <c r="H104" i="12"/>
  <c r="F42" i="11"/>
  <c r="F31" i="11"/>
  <c r="J79" i="11"/>
  <c r="I104" i="11"/>
  <c r="J50" i="12"/>
  <c r="H170" i="12"/>
  <c r="I75" i="12"/>
  <c r="I17" i="12"/>
  <c r="H19" i="12"/>
  <c r="H123" i="12"/>
  <c r="H21" i="12"/>
  <c r="I50" i="10"/>
  <c r="H159" i="12"/>
  <c r="H119" i="12"/>
  <c r="H95" i="12"/>
  <c r="H45" i="12"/>
  <c r="H142" i="12"/>
  <c r="H134" i="12"/>
  <c r="I14" i="12"/>
  <c r="F42" i="12"/>
  <c r="F31" i="12"/>
  <c r="F136" i="12" s="1"/>
  <c r="F139" i="12" s="1"/>
  <c r="G135" i="12" s="1"/>
  <c r="D31" i="11"/>
  <c r="D42" i="11"/>
  <c r="H127" i="11"/>
  <c r="G124" i="11"/>
  <c r="G125" i="10"/>
  <c r="K73" i="11"/>
  <c r="K110" i="11" s="1"/>
  <c r="H18" i="11"/>
  <c r="H23" i="11"/>
  <c r="H52" i="10"/>
  <c r="J18" i="8"/>
  <c r="I19" i="8"/>
  <c r="H123" i="8"/>
  <c r="H99" i="8"/>
  <c r="H146" i="8"/>
  <c r="H163" i="8"/>
  <c r="I14" i="8"/>
  <c r="H138" i="8"/>
  <c r="H49" i="8"/>
  <c r="H55" i="8"/>
  <c r="H127" i="7"/>
  <c r="H41" i="6"/>
  <c r="H135" i="6"/>
  <c r="H23" i="6"/>
  <c r="H21" i="6"/>
  <c r="I41" i="6"/>
  <c r="I135" i="6"/>
  <c r="I21" i="6"/>
  <c r="I23" i="6"/>
  <c r="F177" i="4"/>
  <c r="F217" i="4"/>
  <c r="F103" i="4"/>
  <c r="F200" i="4"/>
  <c r="E19" i="4"/>
  <c r="K25" i="5"/>
  <c r="K20" i="5"/>
  <c r="K6" i="2"/>
  <c r="J200" i="4"/>
  <c r="J177" i="4"/>
  <c r="J153" i="4"/>
  <c r="J103" i="4"/>
  <c r="K19" i="4"/>
  <c r="J237" i="4"/>
  <c r="J217" i="4"/>
  <c r="J256" i="2"/>
  <c r="I75" i="1"/>
  <c r="I78" i="1" s="1"/>
  <c r="I77" i="1" s="1"/>
  <c r="I262" i="2"/>
  <c r="H255" i="2"/>
  <c r="H263" i="2" s="1"/>
  <c r="F102" i="4"/>
  <c r="F176" i="4"/>
  <c r="F199" i="4"/>
  <c r="E18" i="4"/>
  <c r="F216" i="4"/>
  <c r="H181" i="4" l="1"/>
  <c r="H189" i="4" s="1"/>
  <c r="H39" i="4" s="1"/>
  <c r="H156" i="4" s="1"/>
  <c r="F261" i="4"/>
  <c r="F262" i="4" s="1"/>
  <c r="K258" i="4"/>
  <c r="K266" i="4" s="1"/>
  <c r="K270" i="4" s="1"/>
  <c r="L271" i="2"/>
  <c r="L266" i="2"/>
  <c r="H24" i="4"/>
  <c r="H123" i="4" s="1"/>
  <c r="H119" i="4"/>
  <c r="H160" i="4" s="1"/>
  <c r="H110" i="4"/>
  <c r="H107" i="4"/>
  <c r="H136" i="4"/>
  <c r="H161" i="4" s="1"/>
  <c r="H128" i="4"/>
  <c r="H125" i="4"/>
  <c r="H108" i="4"/>
  <c r="H107" i="8"/>
  <c r="E216" i="4"/>
  <c r="E199" i="4"/>
  <c r="E102" i="4"/>
  <c r="E176" i="4"/>
  <c r="J264" i="2"/>
  <c r="J271" i="2"/>
  <c r="K256" i="2"/>
  <c r="L6" i="2"/>
  <c r="H20" i="6"/>
  <c r="H25" i="6"/>
  <c r="I146" i="8"/>
  <c r="I163" i="8"/>
  <c r="I138" i="8"/>
  <c r="I123" i="8"/>
  <c r="J14" i="8"/>
  <c r="I99" i="8"/>
  <c r="I49" i="8"/>
  <c r="H29" i="11"/>
  <c r="G40" i="4"/>
  <c r="G50" i="4" s="1"/>
  <c r="G81" i="4" s="1"/>
  <c r="G80" i="4" s="1"/>
  <c r="G35" i="4"/>
  <c r="D33" i="6"/>
  <c r="D46" i="6"/>
  <c r="H101" i="9"/>
  <c r="F36" i="7"/>
  <c r="F38" i="7" s="1"/>
  <c r="F31" i="7"/>
  <c r="J96" i="9"/>
  <c r="J46" i="9"/>
  <c r="J160" i="9"/>
  <c r="J120" i="9"/>
  <c r="K15" i="9"/>
  <c r="J143" i="9"/>
  <c r="K73" i="9"/>
  <c r="K110" i="9" s="1"/>
  <c r="K114" i="9" s="1"/>
  <c r="J110" i="9"/>
  <c r="J114" i="9" s="1"/>
  <c r="G132" i="12"/>
  <c r="G33" i="12" s="1"/>
  <c r="G99" i="12" s="1"/>
  <c r="G125" i="12"/>
  <c r="J114" i="7"/>
  <c r="J118" i="7" s="1"/>
  <c r="K77" i="7"/>
  <c r="K114" i="7" s="1"/>
  <c r="K118" i="7" s="1"/>
  <c r="G52" i="12"/>
  <c r="G66" i="12"/>
  <c r="H21" i="1"/>
  <c r="I28" i="2"/>
  <c r="I97" i="2" s="1"/>
  <c r="I11" i="2"/>
  <c r="I13" i="2"/>
  <c r="I128" i="2"/>
  <c r="I120" i="2"/>
  <c r="G121" i="5"/>
  <c r="G196" i="5"/>
  <c r="H54" i="8"/>
  <c r="H72" i="8"/>
  <c r="J137" i="5"/>
  <c r="J145" i="5" s="1"/>
  <c r="J35" i="5" s="1"/>
  <c r="J112" i="5" s="1"/>
  <c r="J120" i="5"/>
  <c r="H92" i="5"/>
  <c r="G117" i="5"/>
  <c r="I120" i="5"/>
  <c r="I137" i="5"/>
  <c r="I145" i="5" s="1"/>
  <c r="I35" i="5" s="1"/>
  <c r="I112" i="5" s="1"/>
  <c r="H192" i="5"/>
  <c r="H172" i="5"/>
  <c r="I14" i="5"/>
  <c r="H155" i="5"/>
  <c r="H58" i="5"/>
  <c r="H147" i="5"/>
  <c r="H132" i="5"/>
  <c r="H108" i="5"/>
  <c r="H102" i="10"/>
  <c r="H74" i="10"/>
  <c r="J50" i="10"/>
  <c r="J38" i="3"/>
  <c r="J117" i="2"/>
  <c r="K4" i="2"/>
  <c r="J92" i="2"/>
  <c r="J157" i="2"/>
  <c r="J183" i="2"/>
  <c r="J202" i="2" s="1"/>
  <c r="J140" i="2"/>
  <c r="J41" i="2"/>
  <c r="E33" i="6"/>
  <c r="E46" i="6"/>
  <c r="G20" i="6"/>
  <c r="G25" i="6"/>
  <c r="H100" i="7"/>
  <c r="H164" i="7"/>
  <c r="H147" i="7"/>
  <c r="H124" i="7"/>
  <c r="H50" i="7"/>
  <c r="I15" i="7"/>
  <c r="J123" i="10"/>
  <c r="J131" i="10"/>
  <c r="J19" i="10"/>
  <c r="J21" i="10"/>
  <c r="K17" i="10"/>
  <c r="L79" i="2"/>
  <c r="G36" i="8"/>
  <c r="G38" i="8" s="1"/>
  <c r="K140" i="4"/>
  <c r="F31" i="8"/>
  <c r="F36" i="8"/>
  <c r="F38" i="8" s="1"/>
  <c r="G34" i="12"/>
  <c r="G36" i="12" s="1"/>
  <c r="F45" i="1"/>
  <c r="F44" i="1"/>
  <c r="F43" i="1" s="1"/>
  <c r="F46" i="1"/>
  <c r="F24" i="2"/>
  <c r="F33" i="6"/>
  <c r="F140" i="6" s="1"/>
  <c r="F143" i="6" s="1"/>
  <c r="G139" i="6" s="1"/>
  <c r="F46" i="6"/>
  <c r="J100" i="8"/>
  <c r="J164" i="8"/>
  <c r="J147" i="8"/>
  <c r="J50" i="8"/>
  <c r="K15" i="8"/>
  <c r="J124" i="8"/>
  <c r="H146" i="7"/>
  <c r="H138" i="7"/>
  <c r="H49" i="7"/>
  <c r="I14" i="7"/>
  <c r="H163" i="7"/>
  <c r="H123" i="7"/>
  <c r="H99" i="7"/>
  <c r="H84" i="5"/>
  <c r="I84" i="5" s="1"/>
  <c r="J84" i="5" s="1"/>
  <c r="K84" i="5" s="1"/>
  <c r="I20" i="5"/>
  <c r="I25" i="5"/>
  <c r="I135" i="7"/>
  <c r="I23" i="7"/>
  <c r="I21" i="7"/>
  <c r="I41" i="7"/>
  <c r="I127" i="7"/>
  <c r="H25" i="5"/>
  <c r="H20" i="5"/>
  <c r="K217" i="4"/>
  <c r="K200" i="4"/>
  <c r="L19" i="4"/>
  <c r="K103" i="4"/>
  <c r="K153" i="4"/>
  <c r="K177" i="4"/>
  <c r="K237" i="4"/>
  <c r="I45" i="12"/>
  <c r="I159" i="12"/>
  <c r="I142" i="12"/>
  <c r="I119" i="12"/>
  <c r="I95" i="12"/>
  <c r="J14" i="12"/>
  <c r="I134" i="12"/>
  <c r="J79" i="12"/>
  <c r="I104" i="12"/>
  <c r="J19" i="7"/>
  <c r="K18" i="7"/>
  <c r="K19" i="7" s="1"/>
  <c r="J104" i="10"/>
  <c r="K79" i="10"/>
  <c r="K104" i="10" s="1"/>
  <c r="J236" i="4"/>
  <c r="J199" i="4"/>
  <c r="J191" i="4"/>
  <c r="J216" i="4"/>
  <c r="J152" i="4"/>
  <c r="J176" i="4"/>
  <c r="J102" i="4"/>
  <c r="K18" i="4"/>
  <c r="G70" i="8"/>
  <c r="G56" i="8"/>
  <c r="D33" i="8"/>
  <c r="D46" i="8"/>
  <c r="H149" i="11"/>
  <c r="H120" i="11"/>
  <c r="H96" i="11"/>
  <c r="I15" i="11"/>
  <c r="H166" i="11"/>
  <c r="H46" i="11"/>
  <c r="F27" i="2"/>
  <c r="F37" i="2" s="1"/>
  <c r="J142" i="9"/>
  <c r="J134" i="9"/>
  <c r="K14" i="9"/>
  <c r="J159" i="9"/>
  <c r="J95" i="9"/>
  <c r="J119" i="9"/>
  <c r="J45" i="9"/>
  <c r="I107" i="9"/>
  <c r="I108" i="9" s="1"/>
  <c r="I124" i="9"/>
  <c r="I132" i="9" s="1"/>
  <c r="I33" i="9" s="1"/>
  <c r="I99" i="9" s="1"/>
  <c r="E40" i="2"/>
  <c r="E156" i="2"/>
  <c r="E116" i="2"/>
  <c r="E139" i="2"/>
  <c r="G116" i="5"/>
  <c r="H75" i="5"/>
  <c r="G52" i="11"/>
  <c r="G66" i="11"/>
  <c r="K36" i="5"/>
  <c r="K195" i="5" s="1"/>
  <c r="H122" i="10"/>
  <c r="H125" i="10" s="1"/>
  <c r="G56" i="10"/>
  <c r="K182" i="2"/>
  <c r="K201" i="2" s="1"/>
  <c r="K254" i="2" s="1"/>
  <c r="K116" i="2"/>
  <c r="K91" i="2"/>
  <c r="K156" i="2"/>
  <c r="K131" i="2"/>
  <c r="K37" i="3"/>
  <c r="K139" i="2"/>
  <c r="K40" i="2"/>
  <c r="L3" i="2"/>
  <c r="J96" i="5"/>
  <c r="G111" i="7"/>
  <c r="G112" i="7" s="1"/>
  <c r="G128" i="7"/>
  <c r="G136" i="7" s="1"/>
  <c r="G35" i="7" s="1"/>
  <c r="G103" i="7" s="1"/>
  <c r="G129" i="7"/>
  <c r="J104" i="8"/>
  <c r="K37" i="8"/>
  <c r="K104" i="8" s="1"/>
  <c r="I23" i="10"/>
  <c r="I18" i="10"/>
  <c r="I66" i="10" s="1"/>
  <c r="I188" i="4"/>
  <c r="I50" i="4"/>
  <c r="I27" i="4"/>
  <c r="I53" i="4"/>
  <c r="I25" i="4"/>
  <c r="I180" i="4"/>
  <c r="D156" i="5"/>
  <c r="D173" i="5"/>
  <c r="D133" i="5"/>
  <c r="D59" i="5"/>
  <c r="G129" i="6"/>
  <c r="I18" i="9"/>
  <c r="I52" i="9" s="1"/>
  <c r="I23" i="9"/>
  <c r="F31" i="10"/>
  <c r="F136" i="10" s="1"/>
  <c r="F139" i="10" s="1"/>
  <c r="G135" i="10" s="1"/>
  <c r="F42" i="10"/>
  <c r="H63" i="5"/>
  <c r="G29" i="11"/>
  <c r="H240" i="4"/>
  <c r="H165" i="4"/>
  <c r="I55" i="8"/>
  <c r="K50" i="12"/>
  <c r="H108" i="8"/>
  <c r="I96" i="10"/>
  <c r="I143" i="10"/>
  <c r="I160" i="10"/>
  <c r="J15" i="10"/>
  <c r="I120" i="10"/>
  <c r="I46" i="10"/>
  <c r="K73" i="12"/>
  <c r="K110" i="12" s="1"/>
  <c r="K114" i="12" s="1"/>
  <c r="J110" i="12"/>
  <c r="J114" i="12" s="1"/>
  <c r="J23" i="4"/>
  <c r="K22" i="4"/>
  <c r="G99" i="10"/>
  <c r="G34" i="10"/>
  <c r="G36" i="10" s="1"/>
  <c r="J89" i="8"/>
  <c r="J20" i="5"/>
  <c r="J25" i="5"/>
  <c r="K196" i="5"/>
  <c r="K121" i="5"/>
  <c r="H81" i="5"/>
  <c r="I81" i="5" s="1"/>
  <c r="J81" i="5" s="1"/>
  <c r="K81" i="5" s="1"/>
  <c r="J123" i="5"/>
  <c r="J127" i="5" s="1"/>
  <c r="K86" i="5"/>
  <c r="K123" i="5" s="1"/>
  <c r="K127" i="5" s="1"/>
  <c r="H111" i="7"/>
  <c r="H112" i="7" s="1"/>
  <c r="H128" i="7"/>
  <c r="H136" i="7" s="1"/>
  <c r="H35" i="7" s="1"/>
  <c r="H103" i="7" s="1"/>
  <c r="I20" i="6"/>
  <c r="I25" i="6"/>
  <c r="I41" i="8"/>
  <c r="I66" i="8" s="1"/>
  <c r="I135" i="8"/>
  <c r="I21" i="8"/>
  <c r="I23" i="8"/>
  <c r="I127" i="8"/>
  <c r="G125" i="11"/>
  <c r="G132" i="11"/>
  <c r="G33" i="11" s="1"/>
  <c r="G99" i="11" s="1"/>
  <c r="H124" i="12"/>
  <c r="H132" i="12" s="1"/>
  <c r="H33" i="12" s="1"/>
  <c r="H99" i="12" s="1"/>
  <c r="H107" i="12"/>
  <c r="H108" i="12" s="1"/>
  <c r="J19" i="8"/>
  <c r="K18" i="8"/>
  <c r="K19" i="8" s="1"/>
  <c r="I127" i="11"/>
  <c r="H124" i="11"/>
  <c r="H132" i="11" s="1"/>
  <c r="H33" i="11" s="1"/>
  <c r="H99" i="11" s="1"/>
  <c r="H23" i="12"/>
  <c r="H18" i="12"/>
  <c r="I23" i="11"/>
  <c r="I18" i="11"/>
  <c r="I107" i="10"/>
  <c r="I108" i="10" s="1"/>
  <c r="I124" i="10"/>
  <c r="I132" i="10" s="1"/>
  <c r="I33" i="10" s="1"/>
  <c r="I99" i="10" s="1"/>
  <c r="J50" i="9"/>
  <c r="G65" i="5"/>
  <c r="H65" i="5" s="1"/>
  <c r="I65" i="5" s="1"/>
  <c r="J65" i="5" s="1"/>
  <c r="K65" i="5" s="1"/>
  <c r="G79" i="5"/>
  <c r="G25" i="7"/>
  <c r="G20" i="7"/>
  <c r="E46" i="8"/>
  <c r="E33" i="8"/>
  <c r="K77" i="8"/>
  <c r="K114" i="8" s="1"/>
  <c r="K118" i="8" s="1"/>
  <c r="J114" i="8"/>
  <c r="J118" i="8" s="1"/>
  <c r="E42" i="12"/>
  <c r="E31" i="12"/>
  <c r="H75" i="8"/>
  <c r="I75" i="8" s="1"/>
  <c r="H22" i="2"/>
  <c r="H26" i="2"/>
  <c r="J19" i="9"/>
  <c r="J123" i="9"/>
  <c r="J131" i="9"/>
  <c r="K17" i="9"/>
  <c r="J21" i="9"/>
  <c r="H66" i="5"/>
  <c r="I66" i="5" s="1"/>
  <c r="J66" i="5" s="1"/>
  <c r="K66" i="5" s="1"/>
  <c r="I15" i="5"/>
  <c r="H156" i="5"/>
  <c r="H173" i="5"/>
  <c r="H133" i="5"/>
  <c r="H109" i="5"/>
  <c r="H59" i="5"/>
  <c r="H193" i="5"/>
  <c r="J138" i="11"/>
  <c r="J137" i="11" s="1"/>
  <c r="K135" i="11"/>
  <c r="J103" i="11"/>
  <c r="K62" i="11"/>
  <c r="H121" i="5"/>
  <c r="H196" i="5"/>
  <c r="D212" i="5"/>
  <c r="E218" i="5"/>
  <c r="J41" i="6"/>
  <c r="J23" i="6"/>
  <c r="J135" i="6"/>
  <c r="J21" i="6"/>
  <c r="J127" i="6"/>
  <c r="H25" i="8"/>
  <c r="H20" i="8"/>
  <c r="E217" i="4"/>
  <c r="E200" i="4"/>
  <c r="E103" i="4"/>
  <c r="E177" i="4"/>
  <c r="I52" i="10"/>
  <c r="H101" i="10"/>
  <c r="I21" i="12"/>
  <c r="I123" i="12"/>
  <c r="I19" i="12"/>
  <c r="J17" i="12"/>
  <c r="I131" i="12"/>
  <c r="J104" i="11"/>
  <c r="K79" i="11"/>
  <c r="K104" i="11" s="1"/>
  <c r="K135" i="6"/>
  <c r="K21" i="6"/>
  <c r="K41" i="6"/>
  <c r="K23" i="6"/>
  <c r="K127" i="6"/>
  <c r="I57" i="8"/>
  <c r="K142" i="10"/>
  <c r="K119" i="10"/>
  <c r="K45" i="10"/>
  <c r="K95" i="10"/>
  <c r="K159" i="10"/>
  <c r="K134" i="10"/>
  <c r="H172" i="12"/>
  <c r="I164" i="6"/>
  <c r="I147" i="6"/>
  <c r="I100" i="6"/>
  <c r="I124" i="6"/>
  <c r="J15" i="6"/>
  <c r="I50" i="6"/>
  <c r="J87" i="7"/>
  <c r="J21" i="11"/>
  <c r="K17" i="11"/>
  <c r="J131" i="11"/>
  <c r="J19" i="11"/>
  <c r="H20" i="7"/>
  <c r="H25" i="7"/>
  <c r="I104" i="7"/>
  <c r="J37" i="7"/>
  <c r="H102" i="9"/>
  <c r="H74" i="9"/>
  <c r="I66" i="9"/>
  <c r="J110" i="10"/>
  <c r="J114" i="10" s="1"/>
  <c r="K73" i="10"/>
  <c r="K110" i="10" s="1"/>
  <c r="K114" i="10" s="1"/>
  <c r="G36" i="5"/>
  <c r="G195" i="5" s="1"/>
  <c r="G72" i="7"/>
  <c r="H72" i="7" s="1"/>
  <c r="I72" i="7" s="1"/>
  <c r="G75" i="7"/>
  <c r="H75" i="7" s="1"/>
  <c r="I75" i="7" s="1"/>
  <c r="G83" i="7"/>
  <c r="G66" i="7"/>
  <c r="G54" i="7"/>
  <c r="G71" i="7"/>
  <c r="H71" i="7" s="1"/>
  <c r="I71" i="7" s="1"/>
  <c r="G57" i="7"/>
  <c r="H57" i="7" s="1"/>
  <c r="I57" i="7" s="1"/>
  <c r="G55" i="7"/>
  <c r="H55" i="7" s="1"/>
  <c r="I55" i="7" s="1"/>
  <c r="H126" i="8"/>
  <c r="H129" i="8" s="1"/>
  <c r="G60" i="8"/>
  <c r="I268" i="2"/>
  <c r="I37" i="2" s="1"/>
  <c r="I185" i="2" s="1"/>
  <c r="J263" i="2"/>
  <c r="D31" i="5"/>
  <c r="D36" i="5"/>
  <c r="H64" i="5"/>
  <c r="I64" i="5" s="1"/>
  <c r="J64" i="5" s="1"/>
  <c r="K64" i="5" s="1"/>
  <c r="E36" i="5"/>
  <c r="E46" i="5" s="1"/>
  <c r="E55" i="5" s="1"/>
  <c r="E31" i="5"/>
  <c r="H34" i="9"/>
  <c r="H36" i="9" s="1"/>
  <c r="I170" i="12"/>
  <c r="J75" i="12"/>
  <c r="H256" i="2"/>
  <c r="H264" i="2" s="1"/>
  <c r="J262" i="2"/>
  <c r="G72" i="6"/>
  <c r="H72" i="6" s="1"/>
  <c r="I72" i="6" s="1"/>
  <c r="J72" i="6" s="1"/>
  <c r="G71" i="6"/>
  <c r="H71" i="6" s="1"/>
  <c r="I71" i="6" s="1"/>
  <c r="J71" i="6" s="1"/>
  <c r="G83" i="6"/>
  <c r="G54" i="6"/>
  <c r="G75" i="6"/>
  <c r="H75" i="6" s="1"/>
  <c r="I75" i="6" s="1"/>
  <c r="J75" i="6" s="1"/>
  <c r="G66" i="6"/>
  <c r="G55" i="6"/>
  <c r="H55" i="6" s="1"/>
  <c r="I55" i="6" s="1"/>
  <c r="J55" i="6" s="1"/>
  <c r="K55" i="6" s="1"/>
  <c r="G57" i="6"/>
  <c r="H57" i="6" s="1"/>
  <c r="I57" i="6" s="1"/>
  <c r="J57" i="6" s="1"/>
  <c r="K57" i="6" s="1"/>
  <c r="I123" i="6"/>
  <c r="I99" i="6"/>
  <c r="I163" i="6"/>
  <c r="I146" i="6"/>
  <c r="I138" i="6"/>
  <c r="J14" i="6"/>
  <c r="I49" i="6"/>
  <c r="F31" i="9"/>
  <c r="F136" i="9" s="1"/>
  <c r="F139" i="9" s="1"/>
  <c r="G135" i="9" s="1"/>
  <c r="F42" i="9"/>
  <c r="L257" i="2"/>
  <c r="K265" i="2"/>
  <c r="K271" i="2"/>
  <c r="H122" i="9"/>
  <c r="H125" i="9" s="1"/>
  <c r="G56" i="9"/>
  <c r="H135" i="5"/>
  <c r="H138" i="5" s="1"/>
  <c r="G69" i="5"/>
  <c r="H34" i="10"/>
  <c r="H36" i="10" s="1"/>
  <c r="H165" i="11"/>
  <c r="I14" i="11"/>
  <c r="H148" i="11"/>
  <c r="H119" i="11"/>
  <c r="H95" i="11"/>
  <c r="H45" i="11"/>
  <c r="J260" i="2"/>
  <c r="J8" i="2" s="1"/>
  <c r="J9" i="2" s="1"/>
  <c r="K255" i="2"/>
  <c r="J62" i="9"/>
  <c r="I103" i="9"/>
  <c r="I89" i="7"/>
  <c r="J89" i="7" s="1"/>
  <c r="D132" i="5"/>
  <c r="D155" i="5"/>
  <c r="D172" i="5"/>
  <c r="D58" i="5"/>
  <c r="I104" i="6"/>
  <c r="J37" i="6"/>
  <c r="H80" i="5"/>
  <c r="I80" i="5" s="1"/>
  <c r="J80" i="5" s="1"/>
  <c r="K80" i="5" s="1"/>
  <c r="F31" i="5"/>
  <c r="F36" i="5"/>
  <c r="F46" i="5" s="1"/>
  <c r="F55" i="5" s="1"/>
  <c r="I96" i="12"/>
  <c r="I46" i="12"/>
  <c r="I160" i="12"/>
  <c r="I120" i="12"/>
  <c r="J15" i="12"/>
  <c r="I143" i="12"/>
  <c r="H182" i="4" l="1"/>
  <c r="I179" i="4" s="1"/>
  <c r="E256" i="4"/>
  <c r="F275" i="4"/>
  <c r="F273" i="4"/>
  <c r="H109" i="4"/>
  <c r="H158" i="4" s="1"/>
  <c r="I108" i="4"/>
  <c r="I124" i="4"/>
  <c r="I125" i="4"/>
  <c r="I74" i="10"/>
  <c r="I102" i="10"/>
  <c r="I107" i="8"/>
  <c r="I101" i="9"/>
  <c r="F33" i="5"/>
  <c r="F149" i="5" s="1"/>
  <c r="F152" i="5" s="1"/>
  <c r="G148" i="5" s="1"/>
  <c r="F54" i="5"/>
  <c r="J20" i="6"/>
  <c r="J25" i="6"/>
  <c r="J104" i="6"/>
  <c r="K37" i="6"/>
  <c r="K104" i="6" s="1"/>
  <c r="K62" i="9"/>
  <c r="K103" i="9" s="1"/>
  <c r="J103" i="9"/>
  <c r="H131" i="4"/>
  <c r="H159" i="4"/>
  <c r="H54" i="6"/>
  <c r="I18" i="12"/>
  <c r="I23" i="12"/>
  <c r="D218" i="5"/>
  <c r="H24" i="2"/>
  <c r="H133" i="2" s="1"/>
  <c r="H136" i="2" s="1"/>
  <c r="I132" i="2" s="1"/>
  <c r="G44" i="1"/>
  <c r="G43" i="1" s="1"/>
  <c r="G45" i="1"/>
  <c r="G46" i="1"/>
  <c r="K41" i="8"/>
  <c r="K135" i="8"/>
  <c r="K23" i="8"/>
  <c r="K21" i="8"/>
  <c r="K127" i="8"/>
  <c r="I111" i="8"/>
  <c r="I112" i="8" s="1"/>
  <c r="I128" i="8"/>
  <c r="I136" i="8" s="1"/>
  <c r="I35" i="8" s="1"/>
  <c r="I103" i="8" s="1"/>
  <c r="K89" i="8"/>
  <c r="I83" i="8"/>
  <c r="G106" i="8"/>
  <c r="H70" i="8"/>
  <c r="G78" i="8"/>
  <c r="F46" i="8"/>
  <c r="F33" i="8"/>
  <c r="F140" i="8" s="1"/>
  <c r="F143" i="8" s="1"/>
  <c r="G139" i="8" s="1"/>
  <c r="K123" i="10"/>
  <c r="K131" i="10"/>
  <c r="K19" i="10"/>
  <c r="K21" i="10"/>
  <c r="H117" i="5"/>
  <c r="I92" i="5"/>
  <c r="H40" i="4"/>
  <c r="H52" i="12"/>
  <c r="G101" i="12"/>
  <c r="H34" i="11"/>
  <c r="H36" i="11" s="1"/>
  <c r="I135" i="5"/>
  <c r="I138" i="5" s="1"/>
  <c r="H69" i="5"/>
  <c r="G56" i="7"/>
  <c r="H56" i="7" s="1"/>
  <c r="G70" i="7"/>
  <c r="J135" i="8"/>
  <c r="J23" i="8"/>
  <c r="J21" i="8"/>
  <c r="J41" i="8"/>
  <c r="J66" i="8" s="1"/>
  <c r="J127" i="8"/>
  <c r="I136" i="4"/>
  <c r="H66" i="11"/>
  <c r="G74" i="11"/>
  <c r="G80" i="11" s="1"/>
  <c r="K191" i="4"/>
  <c r="K236" i="4"/>
  <c r="K199" i="4"/>
  <c r="K216" i="4"/>
  <c r="K152" i="4"/>
  <c r="L18" i="4"/>
  <c r="K176" i="4"/>
  <c r="K102" i="4"/>
  <c r="J45" i="12"/>
  <c r="J134" i="12"/>
  <c r="K14" i="12"/>
  <c r="J159" i="12"/>
  <c r="J119" i="12"/>
  <c r="J95" i="12"/>
  <c r="J142" i="12"/>
  <c r="H36" i="5"/>
  <c r="H195" i="5" s="1"/>
  <c r="K50" i="10"/>
  <c r="J196" i="5"/>
  <c r="J121" i="5"/>
  <c r="I104" i="2"/>
  <c r="I121" i="2"/>
  <c r="I129" i="2" s="1"/>
  <c r="I25" i="2" s="1"/>
  <c r="I95" i="2" s="1"/>
  <c r="H30" i="11"/>
  <c r="H31" i="11"/>
  <c r="H98" i="11" s="1"/>
  <c r="H36" i="6"/>
  <c r="K260" i="2"/>
  <c r="K8" i="2" s="1"/>
  <c r="K9" i="2" s="1"/>
  <c r="L255" i="2"/>
  <c r="G108" i="6"/>
  <c r="H83" i="6"/>
  <c r="E262" i="4"/>
  <c r="H36" i="7"/>
  <c r="H38" i="7" s="1"/>
  <c r="J128" i="2"/>
  <c r="I21" i="1"/>
  <c r="J13" i="2"/>
  <c r="J11" i="2"/>
  <c r="J28" i="2"/>
  <c r="J97" i="2" s="1"/>
  <c r="J120" i="2"/>
  <c r="M257" i="2"/>
  <c r="M265" i="2" s="1"/>
  <c r="L265" i="2"/>
  <c r="K71" i="6"/>
  <c r="J147" i="6"/>
  <c r="J164" i="6"/>
  <c r="J124" i="6"/>
  <c r="J100" i="6"/>
  <c r="J50" i="6"/>
  <c r="K15" i="6"/>
  <c r="K20" i="6"/>
  <c r="K25" i="6"/>
  <c r="H36" i="8"/>
  <c r="H38" i="8" s="1"/>
  <c r="G36" i="7"/>
  <c r="G38" i="7" s="1"/>
  <c r="I25" i="8"/>
  <c r="I20" i="8"/>
  <c r="J89" i="6"/>
  <c r="I34" i="9"/>
  <c r="I36" i="9" s="1"/>
  <c r="K96" i="5"/>
  <c r="H52" i="11"/>
  <c r="H101" i="11" s="1"/>
  <c r="G101" i="11"/>
  <c r="G102" i="11"/>
  <c r="I111" i="7"/>
  <c r="I112" i="7" s="1"/>
  <c r="I128" i="7"/>
  <c r="I136" i="7" s="1"/>
  <c r="I35" i="7" s="1"/>
  <c r="I103" i="7" s="1"/>
  <c r="K164" i="8"/>
  <c r="K124" i="8"/>
  <c r="K147" i="8"/>
  <c r="K100" i="8"/>
  <c r="K50" i="8"/>
  <c r="L140" i="4"/>
  <c r="J23" i="10"/>
  <c r="J18" i="10"/>
  <c r="J66" i="10" s="1"/>
  <c r="I155" i="5"/>
  <c r="I147" i="5"/>
  <c r="I108" i="5"/>
  <c r="I132" i="5"/>
  <c r="I58" i="5"/>
  <c r="I172" i="5"/>
  <c r="I192" i="5"/>
  <c r="J14" i="5"/>
  <c r="K160" i="9"/>
  <c r="K96" i="9"/>
  <c r="K46" i="9"/>
  <c r="K143" i="9"/>
  <c r="K120" i="9"/>
  <c r="H66" i="7"/>
  <c r="G107" i="7"/>
  <c r="I102" i="9"/>
  <c r="I74" i="9"/>
  <c r="I107" i="12"/>
  <c r="I108" i="12" s="1"/>
  <c r="I124" i="12"/>
  <c r="I132" i="12" s="1"/>
  <c r="I33" i="12" s="1"/>
  <c r="I99" i="12" s="1"/>
  <c r="J75" i="8"/>
  <c r="K75" i="8" s="1"/>
  <c r="K72" i="6"/>
  <c r="E54" i="5"/>
  <c r="E33" i="5"/>
  <c r="K263" i="2"/>
  <c r="J268" i="2"/>
  <c r="H54" i="7"/>
  <c r="G105" i="7"/>
  <c r="J18" i="11"/>
  <c r="J23" i="11"/>
  <c r="J128" i="6"/>
  <c r="J136" i="6" s="1"/>
  <c r="J35" i="6" s="1"/>
  <c r="J103" i="6" s="1"/>
  <c r="J111" i="6"/>
  <c r="J112" i="6" s="1"/>
  <c r="K123" i="9"/>
  <c r="K19" i="9"/>
  <c r="K21" i="9"/>
  <c r="K131" i="9"/>
  <c r="G87" i="5"/>
  <c r="G115" i="5"/>
  <c r="H79" i="5"/>
  <c r="I29" i="11"/>
  <c r="I128" i="4"/>
  <c r="G30" i="11"/>
  <c r="G31" i="11"/>
  <c r="G98" i="11" s="1"/>
  <c r="G105" i="11" s="1"/>
  <c r="I34" i="10"/>
  <c r="I36" i="10" s="1"/>
  <c r="M3" i="2"/>
  <c r="L91" i="2"/>
  <c r="L139" i="2"/>
  <c r="L182" i="2"/>
  <c r="L201" i="2" s="1"/>
  <c r="L254" i="2" s="1"/>
  <c r="L37" i="3"/>
  <c r="L40" i="2"/>
  <c r="L116" i="2"/>
  <c r="L156" i="2"/>
  <c r="L131" i="2"/>
  <c r="H257" i="2"/>
  <c r="H265" i="2" s="1"/>
  <c r="K262" i="2"/>
  <c r="H116" i="5"/>
  <c r="I75" i="5"/>
  <c r="F50" i="1"/>
  <c r="F51" i="1"/>
  <c r="F49" i="1"/>
  <c r="F48" i="1" s="1"/>
  <c r="K135" i="7"/>
  <c r="K23" i="7"/>
  <c r="K41" i="7"/>
  <c r="K21" i="7"/>
  <c r="K127" i="7"/>
  <c r="L237" i="4"/>
  <c r="L200" i="4"/>
  <c r="L103" i="4"/>
  <c r="L153" i="4"/>
  <c r="L177" i="4"/>
  <c r="L217" i="4"/>
  <c r="I110" i="4"/>
  <c r="G36" i="6"/>
  <c r="I72" i="8"/>
  <c r="J72" i="8" s="1"/>
  <c r="K72" i="8" s="1"/>
  <c r="M6" i="2"/>
  <c r="I71" i="8"/>
  <c r="J71" i="8" s="1"/>
  <c r="K71" i="8" s="1"/>
  <c r="J143" i="10"/>
  <c r="J160" i="10"/>
  <c r="K15" i="10"/>
  <c r="J96" i="10"/>
  <c r="J120" i="10"/>
  <c r="J46" i="10"/>
  <c r="G34" i="11"/>
  <c r="G36" i="11" s="1"/>
  <c r="H126" i="6"/>
  <c r="H129" i="6" s="1"/>
  <c r="G60" i="6"/>
  <c r="I164" i="4"/>
  <c r="I181" i="4"/>
  <c r="I189" i="4" s="1"/>
  <c r="I39" i="4" s="1"/>
  <c r="I156" i="4" s="1"/>
  <c r="J135" i="7"/>
  <c r="J23" i="7"/>
  <c r="J41" i="7"/>
  <c r="J71" i="7" s="1"/>
  <c r="K71" i="7" s="1"/>
  <c r="J21" i="7"/>
  <c r="J127" i="7"/>
  <c r="I25" i="7"/>
  <c r="I20" i="7"/>
  <c r="J107" i="10"/>
  <c r="J108" i="10" s="1"/>
  <c r="J124" i="10"/>
  <c r="J132" i="10" s="1"/>
  <c r="J33" i="10" s="1"/>
  <c r="J99" i="10" s="1"/>
  <c r="G70" i="6"/>
  <c r="G56" i="6"/>
  <c r="H56" i="6" s="1"/>
  <c r="I56" i="6" s="1"/>
  <c r="J56" i="6" s="1"/>
  <c r="K56" i="6" s="1"/>
  <c r="K183" i="2"/>
  <c r="K202" i="2" s="1"/>
  <c r="K140" i="2"/>
  <c r="K41" i="2"/>
  <c r="K38" i="3"/>
  <c r="K117" i="2"/>
  <c r="K92" i="2"/>
  <c r="L4" i="2"/>
  <c r="K157" i="2"/>
  <c r="I54" i="8"/>
  <c r="I15" i="2"/>
  <c r="I10" i="2"/>
  <c r="I119" i="4"/>
  <c r="J146" i="8"/>
  <c r="J163" i="8"/>
  <c r="J49" i="8"/>
  <c r="K14" i="8"/>
  <c r="J99" i="8"/>
  <c r="J123" i="8"/>
  <c r="J138" i="8"/>
  <c r="J52" i="10"/>
  <c r="J101" i="10" s="1"/>
  <c r="H83" i="7"/>
  <c r="G108" i="7"/>
  <c r="K21" i="11"/>
  <c r="K19" i="11"/>
  <c r="K131" i="11"/>
  <c r="J124" i="9"/>
  <c r="J132" i="9" s="1"/>
  <c r="J33" i="9" s="1"/>
  <c r="J99" i="9" s="1"/>
  <c r="J107" i="9"/>
  <c r="J108" i="9" s="1"/>
  <c r="H34" i="12"/>
  <c r="H36" i="12" s="1"/>
  <c r="I36" i="6"/>
  <c r="L22" i="4"/>
  <c r="L23" i="4" s="1"/>
  <c r="K23" i="4"/>
  <c r="G114" i="5"/>
  <c r="G197" i="5" s="1"/>
  <c r="G198" i="5" s="1"/>
  <c r="I29" i="4"/>
  <c r="I24" i="4"/>
  <c r="I123" i="4" s="1"/>
  <c r="I122" i="10"/>
  <c r="I125" i="10" s="1"/>
  <c r="H56" i="10"/>
  <c r="I138" i="7"/>
  <c r="I163" i="7"/>
  <c r="I49" i="7"/>
  <c r="J14" i="7"/>
  <c r="I99" i="7"/>
  <c r="I146" i="7"/>
  <c r="I123" i="7"/>
  <c r="I164" i="7"/>
  <c r="I147" i="7"/>
  <c r="I124" i="7"/>
  <c r="I50" i="7"/>
  <c r="J15" i="7"/>
  <c r="I100" i="7"/>
  <c r="H122" i="12"/>
  <c r="H125" i="12" s="1"/>
  <c r="G56" i="12"/>
  <c r="G37" i="4"/>
  <c r="G193" i="4" s="1"/>
  <c r="G196" i="4" s="1"/>
  <c r="H192" i="4" s="1"/>
  <c r="G76" i="4"/>
  <c r="G75" i="4" s="1"/>
  <c r="H66" i="6"/>
  <c r="G107" i="6"/>
  <c r="J170" i="12"/>
  <c r="K75" i="12"/>
  <c r="J57" i="8"/>
  <c r="K57" i="8" s="1"/>
  <c r="I133" i="5"/>
  <c r="I109" i="5"/>
  <c r="I59" i="5"/>
  <c r="I173" i="5"/>
  <c r="J15" i="5"/>
  <c r="I193" i="5"/>
  <c r="I156" i="5"/>
  <c r="J23" i="9"/>
  <c r="J18" i="9"/>
  <c r="J66" i="9" s="1"/>
  <c r="K50" i="9"/>
  <c r="J36" i="5"/>
  <c r="J195" i="5" s="1"/>
  <c r="J53" i="4"/>
  <c r="J188" i="4"/>
  <c r="J50" i="4"/>
  <c r="J27" i="4"/>
  <c r="J25" i="4"/>
  <c r="J180" i="4"/>
  <c r="J55" i="8"/>
  <c r="K55" i="8" s="1"/>
  <c r="I114" i="5"/>
  <c r="I63" i="5"/>
  <c r="H126" i="7"/>
  <c r="H129" i="7" s="1"/>
  <c r="G60" i="7"/>
  <c r="K201" i="5"/>
  <c r="I166" i="11"/>
  <c r="I120" i="11"/>
  <c r="I149" i="11"/>
  <c r="I46" i="11"/>
  <c r="I96" i="11"/>
  <c r="J15" i="11"/>
  <c r="I107" i="4"/>
  <c r="K79" i="12"/>
  <c r="K104" i="12" s="1"/>
  <c r="J104" i="12"/>
  <c r="M79" i="2"/>
  <c r="I196" i="5"/>
  <c r="I121" i="5"/>
  <c r="I57" i="2"/>
  <c r="I48" i="2"/>
  <c r="I45" i="2"/>
  <c r="I63" i="2"/>
  <c r="I46" i="2"/>
  <c r="I66" i="2"/>
  <c r="I75" i="2"/>
  <c r="I62" i="2"/>
  <c r="L256" i="2"/>
  <c r="K264" i="2"/>
  <c r="K103" i="11"/>
  <c r="K138" i="11"/>
  <c r="K137" i="11" s="1"/>
  <c r="J96" i="12"/>
  <c r="J46" i="12"/>
  <c r="J143" i="12"/>
  <c r="K15" i="12"/>
  <c r="J160" i="12"/>
  <c r="J120" i="12"/>
  <c r="J163" i="6"/>
  <c r="J146" i="6"/>
  <c r="J138" i="6"/>
  <c r="J123" i="6"/>
  <c r="J99" i="6"/>
  <c r="J49" i="6"/>
  <c r="K14" i="6"/>
  <c r="I126" i="8"/>
  <c r="I129" i="8" s="1"/>
  <c r="H60" i="8"/>
  <c r="I148" i="11"/>
  <c r="I119" i="11"/>
  <c r="I95" i="11"/>
  <c r="I165" i="11"/>
  <c r="J14" i="11"/>
  <c r="I45" i="11"/>
  <c r="I122" i="9"/>
  <c r="I125" i="9" s="1"/>
  <c r="H56" i="9"/>
  <c r="K75" i="6"/>
  <c r="J172" i="12"/>
  <c r="D33" i="5"/>
  <c r="D54" i="5"/>
  <c r="J72" i="7"/>
  <c r="K72" i="7" s="1"/>
  <c r="K37" i="7"/>
  <c r="K104" i="7" s="1"/>
  <c r="J104" i="7"/>
  <c r="K87" i="7"/>
  <c r="K111" i="6"/>
  <c r="K112" i="6" s="1"/>
  <c r="K128" i="6"/>
  <c r="K136" i="6" s="1"/>
  <c r="K35" i="6" s="1"/>
  <c r="K103" i="6" s="1"/>
  <c r="J21" i="12"/>
  <c r="J123" i="12"/>
  <c r="K17" i="12"/>
  <c r="J131" i="12"/>
  <c r="J19" i="12"/>
  <c r="H27" i="2"/>
  <c r="H37" i="2"/>
  <c r="J127" i="11"/>
  <c r="I124" i="11"/>
  <c r="I132" i="11" s="1"/>
  <c r="I33" i="11" s="1"/>
  <c r="I99" i="11" s="1"/>
  <c r="H122" i="11"/>
  <c r="H125" i="11" s="1"/>
  <c r="G56" i="11"/>
  <c r="H114" i="5"/>
  <c r="K134" i="9"/>
  <c r="K45" i="9"/>
  <c r="K159" i="9"/>
  <c r="K142" i="9"/>
  <c r="K119" i="9"/>
  <c r="K95" i="9"/>
  <c r="H56" i="8"/>
  <c r="I56" i="8" s="1"/>
  <c r="G105" i="8"/>
  <c r="H105" i="8"/>
  <c r="I101" i="10"/>
  <c r="I36" i="5"/>
  <c r="I195" i="5" s="1"/>
  <c r="I172" i="12"/>
  <c r="G102" i="12"/>
  <c r="H66" i="12"/>
  <c r="G74" i="12"/>
  <c r="G80" i="12" s="1"/>
  <c r="F46" i="7"/>
  <c r="F33" i="7"/>
  <c r="F140" i="7" s="1"/>
  <c r="F143" i="7" s="1"/>
  <c r="G139" i="7" s="1"/>
  <c r="H113" i="4" l="1"/>
  <c r="F277" i="4"/>
  <c r="F270" i="4" s="1"/>
  <c r="F263" i="4" s="1"/>
  <c r="J108" i="4"/>
  <c r="J46" i="2"/>
  <c r="J48" i="2"/>
  <c r="J125" i="4"/>
  <c r="J66" i="2"/>
  <c r="J124" i="4"/>
  <c r="J110" i="4"/>
  <c r="H241" i="4"/>
  <c r="I109" i="4"/>
  <c r="I158" i="4" s="1"/>
  <c r="J63" i="2"/>
  <c r="J62" i="2"/>
  <c r="J128" i="4"/>
  <c r="J102" i="9"/>
  <c r="J74" i="9"/>
  <c r="K66" i="9"/>
  <c r="J107" i="8"/>
  <c r="K66" i="8"/>
  <c r="K107" i="8" s="1"/>
  <c r="I159" i="4"/>
  <c r="I131" i="4"/>
  <c r="J102" i="10"/>
  <c r="J74" i="10"/>
  <c r="L264" i="2"/>
  <c r="M256" i="2"/>
  <c r="M264" i="2" s="1"/>
  <c r="I100" i="2"/>
  <c r="J57" i="2"/>
  <c r="J149" i="11"/>
  <c r="J166" i="11"/>
  <c r="K15" i="11"/>
  <c r="J96" i="11"/>
  <c r="J120" i="11"/>
  <c r="J46" i="11"/>
  <c r="K138" i="8"/>
  <c r="K49" i="8"/>
  <c r="K99" i="8"/>
  <c r="K123" i="8"/>
  <c r="K163" i="8"/>
  <c r="K146" i="8"/>
  <c r="J54" i="8"/>
  <c r="J25" i="7"/>
  <c r="J20" i="7"/>
  <c r="I126" i="6"/>
  <c r="I129" i="6" s="1"/>
  <c r="H60" i="6"/>
  <c r="K20" i="7"/>
  <c r="K25" i="7"/>
  <c r="H258" i="2"/>
  <c r="H266" i="2" s="1"/>
  <c r="L262" i="2"/>
  <c r="K23" i="9"/>
  <c r="K18" i="9"/>
  <c r="I54" i="7"/>
  <c r="I36" i="8"/>
  <c r="I38" i="8" s="1"/>
  <c r="H102" i="11"/>
  <c r="H74" i="11"/>
  <c r="H80" i="11" s="1"/>
  <c r="I66" i="11"/>
  <c r="G106" i="7"/>
  <c r="G78" i="7"/>
  <c r="H70" i="7"/>
  <c r="I52" i="12"/>
  <c r="J52" i="9"/>
  <c r="K146" i="6"/>
  <c r="K163" i="6"/>
  <c r="K138" i="6"/>
  <c r="K123" i="6"/>
  <c r="K99" i="6"/>
  <c r="K49" i="6"/>
  <c r="I30" i="11"/>
  <c r="I31" i="11"/>
  <c r="I98" i="11" s="1"/>
  <c r="K124" i="9"/>
  <c r="K132" i="9" s="1"/>
  <c r="K33" i="9" s="1"/>
  <c r="K99" i="9" s="1"/>
  <c r="K107" i="9"/>
  <c r="K108" i="9" s="1"/>
  <c r="J269" i="2"/>
  <c r="J37" i="2"/>
  <c r="J185" i="2" s="1"/>
  <c r="I52" i="11"/>
  <c r="I101" i="11"/>
  <c r="K100" i="6"/>
  <c r="K50" i="6"/>
  <c r="K164" i="6"/>
  <c r="K124" i="6"/>
  <c r="K147" i="6"/>
  <c r="L260" i="2"/>
  <c r="L8" i="2" s="1"/>
  <c r="L9" i="2" s="1"/>
  <c r="M255" i="2"/>
  <c r="I186" i="2"/>
  <c r="I105" i="2"/>
  <c r="L216" i="4"/>
  <c r="L191" i="4"/>
  <c r="L152" i="4"/>
  <c r="L102" i="4"/>
  <c r="L236" i="4"/>
  <c r="L199" i="4"/>
  <c r="L176" i="4"/>
  <c r="I161" i="4"/>
  <c r="J136" i="4"/>
  <c r="I56" i="7"/>
  <c r="J56" i="7" s="1"/>
  <c r="K56" i="7" s="1"/>
  <c r="H239" i="4"/>
  <c r="I122" i="11"/>
  <c r="I125" i="11" s="1"/>
  <c r="H56" i="11"/>
  <c r="J107" i="12"/>
  <c r="J108" i="12" s="1"/>
  <c r="J124" i="12"/>
  <c r="J132" i="12" s="1"/>
  <c r="J33" i="12" s="1"/>
  <c r="J99" i="12" s="1"/>
  <c r="J165" i="11"/>
  <c r="J119" i="11"/>
  <c r="J95" i="11"/>
  <c r="J148" i="11"/>
  <c r="K14" i="11"/>
  <c r="J45" i="11"/>
  <c r="K143" i="12"/>
  <c r="K96" i="12"/>
  <c r="K160" i="12"/>
  <c r="K46" i="12"/>
  <c r="K120" i="12"/>
  <c r="I126" i="7"/>
  <c r="I129" i="7" s="1"/>
  <c r="H60" i="7"/>
  <c r="J34" i="9"/>
  <c r="J36" i="9" s="1"/>
  <c r="J122" i="10"/>
  <c r="J125" i="10" s="1"/>
  <c r="I56" i="10"/>
  <c r="J124" i="11"/>
  <c r="J132" i="11" s="1"/>
  <c r="J33" i="11" s="1"/>
  <c r="J99" i="11" s="1"/>
  <c r="K127" i="11"/>
  <c r="K124" i="11" s="1"/>
  <c r="K132" i="11" s="1"/>
  <c r="K33" i="11" s="1"/>
  <c r="K99" i="11" s="1"/>
  <c r="J75" i="2"/>
  <c r="I101" i="2"/>
  <c r="J63" i="5"/>
  <c r="K170" i="12"/>
  <c r="I122" i="12"/>
  <c r="I125" i="12" s="1"/>
  <c r="H56" i="12"/>
  <c r="I83" i="7"/>
  <c r="H108" i="7"/>
  <c r="L117" i="2"/>
  <c r="M4" i="2"/>
  <c r="L183" i="2"/>
  <c r="L202" i="2" s="1"/>
  <c r="L140" i="2"/>
  <c r="L41" i="2"/>
  <c r="L92" i="2"/>
  <c r="L157" i="2"/>
  <c r="L38" i="3"/>
  <c r="H70" i="6"/>
  <c r="G106" i="6"/>
  <c r="G78" i="6"/>
  <c r="I34" i="11"/>
  <c r="I36" i="11" s="1"/>
  <c r="L263" i="2"/>
  <c r="K268" i="2"/>
  <c r="I182" i="4"/>
  <c r="K13" i="2"/>
  <c r="K128" i="2"/>
  <c r="K11" i="2"/>
  <c r="J21" i="1"/>
  <c r="K28" i="2"/>
  <c r="K97" i="2" s="1"/>
  <c r="K120" i="2"/>
  <c r="I117" i="5"/>
  <c r="J92" i="5"/>
  <c r="J75" i="7"/>
  <c r="K75" i="7" s="1"/>
  <c r="G51" i="1"/>
  <c r="L3" i="3"/>
  <c r="G49" i="1"/>
  <c r="G48" i="1" s="1"/>
  <c r="G50" i="1"/>
  <c r="I40" i="4"/>
  <c r="M116" i="2"/>
  <c r="M139" i="2"/>
  <c r="M131" i="2"/>
  <c r="M40" i="2"/>
  <c r="M37" i="3"/>
  <c r="M182" i="2"/>
  <c r="M201" i="2" s="1"/>
  <c r="M254" i="2" s="1"/>
  <c r="M91" i="2"/>
  <c r="M156" i="2"/>
  <c r="I79" i="5"/>
  <c r="H115" i="5"/>
  <c r="H87" i="5"/>
  <c r="J192" i="5"/>
  <c r="J132" i="5"/>
  <c r="J108" i="5"/>
  <c r="J147" i="5"/>
  <c r="J58" i="5"/>
  <c r="J172" i="5"/>
  <c r="K14" i="5"/>
  <c r="J155" i="5"/>
  <c r="J121" i="2"/>
  <c r="J129" i="2" s="1"/>
  <c r="J25" i="2" s="1"/>
  <c r="J95" i="2" s="1"/>
  <c r="J104" i="2"/>
  <c r="J128" i="8"/>
  <c r="J136" i="8" s="1"/>
  <c r="J35" i="8" s="1"/>
  <c r="J103" i="8" s="1"/>
  <c r="J111" i="8"/>
  <c r="J112" i="8" s="1"/>
  <c r="J135" i="5"/>
  <c r="J138" i="5" s="1"/>
  <c r="I69" i="5"/>
  <c r="K111" i="8"/>
  <c r="K112" i="8" s="1"/>
  <c r="K128" i="8"/>
  <c r="K136" i="8" s="1"/>
  <c r="K35" i="8" s="1"/>
  <c r="K103" i="8" s="1"/>
  <c r="J55" i="7"/>
  <c r="K55" i="7" s="1"/>
  <c r="J133" i="5"/>
  <c r="J193" i="5"/>
  <c r="J173" i="5"/>
  <c r="J109" i="5"/>
  <c r="J156" i="5"/>
  <c r="K15" i="5"/>
  <c r="J59" i="5"/>
  <c r="K172" i="12"/>
  <c r="J100" i="7"/>
  <c r="K15" i="7"/>
  <c r="J164" i="7"/>
  <c r="J147" i="7"/>
  <c r="J124" i="7"/>
  <c r="J50" i="7"/>
  <c r="J163" i="7"/>
  <c r="J123" i="7"/>
  <c r="J99" i="7"/>
  <c r="J146" i="7"/>
  <c r="J138" i="7"/>
  <c r="J49" i="7"/>
  <c r="K14" i="7"/>
  <c r="I160" i="4"/>
  <c r="J119" i="4"/>
  <c r="J29" i="11"/>
  <c r="J34" i="11"/>
  <c r="J36" i="11" s="1"/>
  <c r="J34" i="10"/>
  <c r="J36" i="10" s="1"/>
  <c r="J57" i="7"/>
  <c r="K57" i="7" s="1"/>
  <c r="K45" i="12"/>
  <c r="K134" i="12"/>
  <c r="K142" i="12"/>
  <c r="K119" i="12"/>
  <c r="K95" i="12"/>
  <c r="K159" i="12"/>
  <c r="K89" i="7"/>
  <c r="H106" i="8"/>
  <c r="H78" i="8"/>
  <c r="I70" i="8"/>
  <c r="K25" i="8"/>
  <c r="K20" i="8"/>
  <c r="H105" i="6"/>
  <c r="J23" i="12"/>
  <c r="J18" i="12"/>
  <c r="I61" i="2"/>
  <c r="I47" i="2"/>
  <c r="H107" i="7"/>
  <c r="I66" i="7"/>
  <c r="J15" i="2"/>
  <c r="J10" i="2"/>
  <c r="H105" i="11"/>
  <c r="J25" i="8"/>
  <c r="J20" i="8"/>
  <c r="J56" i="8" s="1"/>
  <c r="K56" i="8" s="1"/>
  <c r="K18" i="10"/>
  <c r="K52" i="10" s="1"/>
  <c r="K101" i="10" s="1"/>
  <c r="K23" i="10"/>
  <c r="I54" i="6"/>
  <c r="I105" i="6"/>
  <c r="J164" i="4"/>
  <c r="J181" i="4"/>
  <c r="J189" i="4" s="1"/>
  <c r="J39" i="4" s="1"/>
  <c r="J156" i="4" s="1"/>
  <c r="K50" i="4"/>
  <c r="K27" i="4"/>
  <c r="K188" i="4"/>
  <c r="K25" i="4"/>
  <c r="K53" i="4"/>
  <c r="K180" i="4"/>
  <c r="K96" i="10"/>
  <c r="K160" i="10"/>
  <c r="K120" i="10"/>
  <c r="K143" i="10"/>
  <c r="K46" i="10"/>
  <c r="H197" i="5"/>
  <c r="H198" i="5" s="1"/>
  <c r="J122" i="9"/>
  <c r="J125" i="9" s="1"/>
  <c r="I56" i="9"/>
  <c r="J45" i="2"/>
  <c r="F208" i="5"/>
  <c r="F206" i="5"/>
  <c r="F205" i="5"/>
  <c r="F207" i="5"/>
  <c r="J29" i="4"/>
  <c r="J24" i="4"/>
  <c r="H107" i="6"/>
  <c r="I66" i="6"/>
  <c r="L188" i="4"/>
  <c r="L53" i="4"/>
  <c r="L50" i="4"/>
  <c r="L283" i="4" s="1"/>
  <c r="L285" i="4" s="1"/>
  <c r="L27" i="4"/>
  <c r="L25" i="4"/>
  <c r="L180" i="4"/>
  <c r="K18" i="11"/>
  <c r="K23" i="11"/>
  <c r="I26" i="2"/>
  <c r="I36" i="7"/>
  <c r="I38" i="7" s="1"/>
  <c r="I165" i="4"/>
  <c r="I240" i="4"/>
  <c r="G154" i="11"/>
  <c r="G155" i="11" s="1"/>
  <c r="G111" i="11" s="1"/>
  <c r="G114" i="11" s="1"/>
  <c r="G116" i="11" s="1"/>
  <c r="G49" i="11" s="1"/>
  <c r="K89" i="6"/>
  <c r="H101" i="12"/>
  <c r="J83" i="8"/>
  <c r="I108" i="8"/>
  <c r="G105" i="6"/>
  <c r="H102" i="12"/>
  <c r="I66" i="12"/>
  <c r="H74" i="12"/>
  <c r="H80" i="12" s="1"/>
  <c r="K123" i="12"/>
  <c r="K19" i="12"/>
  <c r="K131" i="12"/>
  <c r="K21" i="12"/>
  <c r="J126" i="8"/>
  <c r="J129" i="8" s="1"/>
  <c r="I60" i="8"/>
  <c r="J107" i="4"/>
  <c r="I105" i="8"/>
  <c r="J111" i="7"/>
  <c r="J112" i="7" s="1"/>
  <c r="J128" i="7"/>
  <c r="J136" i="7" s="1"/>
  <c r="J35" i="7" s="1"/>
  <c r="J103" i="7" s="1"/>
  <c r="K111" i="7"/>
  <c r="K112" i="7" s="1"/>
  <c r="K128" i="7"/>
  <c r="K136" i="7" s="1"/>
  <c r="K35" i="7" s="1"/>
  <c r="K103" i="7" s="1"/>
  <c r="I116" i="5"/>
  <c r="J75" i="5"/>
  <c r="H105" i="7"/>
  <c r="K36" i="6"/>
  <c r="H108" i="6"/>
  <c r="I83" i="6"/>
  <c r="I122" i="2"/>
  <c r="K107" i="10"/>
  <c r="K108" i="10" s="1"/>
  <c r="K124" i="10"/>
  <c r="K132" i="10" s="1"/>
  <c r="K33" i="10" s="1"/>
  <c r="K99" i="10" s="1"/>
  <c r="I34" i="12"/>
  <c r="I36" i="12" s="1"/>
  <c r="J36" i="6"/>
  <c r="F267" i="4" l="1"/>
  <c r="E267" i="4" s="1"/>
  <c r="E270" i="4"/>
  <c r="K108" i="4"/>
  <c r="L108" i="4" s="1"/>
  <c r="J109" i="4"/>
  <c r="J158" i="4" s="1"/>
  <c r="K66" i="2"/>
  <c r="H242" i="4"/>
  <c r="K46" i="2"/>
  <c r="I241" i="4"/>
  <c r="K63" i="2"/>
  <c r="K125" i="4"/>
  <c r="L125" i="4" s="1"/>
  <c r="K62" i="2"/>
  <c r="K48" i="2"/>
  <c r="J47" i="2"/>
  <c r="J98" i="2" s="1"/>
  <c r="G55" i="11"/>
  <c r="G63" i="11" s="1"/>
  <c r="G92" i="11" s="1"/>
  <c r="H152" i="11"/>
  <c r="I108" i="6"/>
  <c r="J83" i="6"/>
  <c r="I102" i="12"/>
  <c r="I74" i="12"/>
  <c r="I80" i="12" s="1"/>
  <c r="J66" i="12"/>
  <c r="K269" i="2"/>
  <c r="K37" i="2"/>
  <c r="K185" i="2" s="1"/>
  <c r="L13" i="2"/>
  <c r="K21" i="1"/>
  <c r="L11" i="2"/>
  <c r="L128" i="2"/>
  <c r="L28" i="2"/>
  <c r="L97" i="2" s="1"/>
  <c r="L120" i="2"/>
  <c r="J52" i="12"/>
  <c r="J101" i="12"/>
  <c r="K36" i="7"/>
  <c r="K38" i="7" s="1"/>
  <c r="K54" i="8"/>
  <c r="K105" i="8" s="1"/>
  <c r="K123" i="7"/>
  <c r="K99" i="7"/>
  <c r="K146" i="7"/>
  <c r="K138" i="7"/>
  <c r="K49" i="7"/>
  <c r="K163" i="7"/>
  <c r="K126" i="8"/>
  <c r="K129" i="8" s="1"/>
  <c r="K60" i="8" s="1"/>
  <c r="J60" i="8"/>
  <c r="I27" i="2"/>
  <c r="K29" i="4"/>
  <c r="K24" i="4"/>
  <c r="J54" i="6"/>
  <c r="J26" i="2"/>
  <c r="M262" i="2"/>
  <c r="H259" i="2"/>
  <c r="H267" i="2" s="1"/>
  <c r="K124" i="4"/>
  <c r="L124" i="4" s="1"/>
  <c r="I28" i="3"/>
  <c r="L6" i="3"/>
  <c r="F8" i="3"/>
  <c r="F9" i="3"/>
  <c r="L268" i="2"/>
  <c r="M263" i="2"/>
  <c r="M268" i="2" s="1"/>
  <c r="J122" i="12"/>
  <c r="J125" i="12" s="1"/>
  <c r="I56" i="12"/>
  <c r="H106" i="7"/>
  <c r="H78" i="7"/>
  <c r="I70" i="7"/>
  <c r="J105" i="7"/>
  <c r="J54" i="7"/>
  <c r="J123" i="4"/>
  <c r="K34" i="10"/>
  <c r="K36" i="10" s="1"/>
  <c r="I107" i="7"/>
  <c r="J66" i="7"/>
  <c r="J186" i="2"/>
  <c r="J105" i="2"/>
  <c r="K10" i="2"/>
  <c r="K15" i="2"/>
  <c r="I105" i="7"/>
  <c r="K110" i="4"/>
  <c r="L110" i="4" s="1"/>
  <c r="K66" i="10"/>
  <c r="K34" i="11"/>
  <c r="K36" i="11" s="1"/>
  <c r="K29" i="11"/>
  <c r="J66" i="6"/>
  <c r="I107" i="6"/>
  <c r="I98" i="2"/>
  <c r="K100" i="7"/>
  <c r="K124" i="7"/>
  <c r="K164" i="7"/>
  <c r="K147" i="7"/>
  <c r="K50" i="7"/>
  <c r="I239" i="4"/>
  <c r="J56" i="10"/>
  <c r="K122" i="10"/>
  <c r="K125" i="10" s="1"/>
  <c r="K56" i="10" s="1"/>
  <c r="K149" i="11"/>
  <c r="K166" i="11"/>
  <c r="K120" i="11"/>
  <c r="K96" i="11"/>
  <c r="K46" i="11"/>
  <c r="J31" i="11"/>
  <c r="J98" i="11" s="1"/>
  <c r="J30" i="11"/>
  <c r="M157" i="2"/>
  <c r="M92" i="2"/>
  <c r="M117" i="2"/>
  <c r="M38" i="3"/>
  <c r="M183" i="2"/>
  <c r="M202" i="2" s="1"/>
  <c r="M140" i="2"/>
  <c r="M41" i="2"/>
  <c r="K63" i="5"/>
  <c r="K114" i="5" s="1"/>
  <c r="J161" i="4"/>
  <c r="K136" i="4"/>
  <c r="I105" i="11"/>
  <c r="K52" i="9"/>
  <c r="J101" i="9"/>
  <c r="K101" i="9"/>
  <c r="J66" i="11"/>
  <c r="I102" i="11"/>
  <c r="I74" i="11"/>
  <c r="I80" i="11" s="1"/>
  <c r="K34" i="9"/>
  <c r="K36" i="9" s="1"/>
  <c r="J126" i="6"/>
  <c r="J129" i="6" s="1"/>
  <c r="I60" i="6"/>
  <c r="K18" i="12"/>
  <c r="K23" i="12"/>
  <c r="J116" i="5"/>
  <c r="K75" i="5"/>
  <c r="K116" i="5" s="1"/>
  <c r="K107" i="12"/>
  <c r="K108" i="12" s="1"/>
  <c r="K124" i="12"/>
  <c r="K132" i="12" s="1"/>
  <c r="K33" i="12" s="1"/>
  <c r="K99" i="12" s="1"/>
  <c r="K83" i="8"/>
  <c r="K108" i="8" s="1"/>
  <c r="J108" i="8"/>
  <c r="K45" i="2"/>
  <c r="J36" i="8"/>
  <c r="J38" i="8" s="1"/>
  <c r="J61" i="2"/>
  <c r="I99" i="2"/>
  <c r="K36" i="8"/>
  <c r="K38" i="8" s="1"/>
  <c r="J160" i="4"/>
  <c r="K119" i="4"/>
  <c r="K132" i="5"/>
  <c r="K108" i="5"/>
  <c r="K172" i="5"/>
  <c r="K192" i="5"/>
  <c r="K58" i="5"/>
  <c r="K147" i="5"/>
  <c r="K155" i="5"/>
  <c r="J117" i="5"/>
  <c r="K92" i="5"/>
  <c r="K117" i="5" s="1"/>
  <c r="J179" i="4"/>
  <c r="J182" i="4" s="1"/>
  <c r="I113" i="4"/>
  <c r="H106" i="6"/>
  <c r="H78" i="6"/>
  <c r="I70" i="6"/>
  <c r="J114" i="5"/>
  <c r="K128" i="4"/>
  <c r="L128" i="4" s="1"/>
  <c r="K74" i="9"/>
  <c r="K102" i="9"/>
  <c r="K107" i="4"/>
  <c r="L29" i="4"/>
  <c r="L24" i="4"/>
  <c r="I106" i="8"/>
  <c r="I78" i="8"/>
  <c r="J70" i="8"/>
  <c r="I115" i="5"/>
  <c r="I197" i="5" s="1"/>
  <c r="I198" i="5" s="1"/>
  <c r="J79" i="5"/>
  <c r="I87" i="5"/>
  <c r="J36" i="7"/>
  <c r="J38" i="7" s="1"/>
  <c r="J100" i="2"/>
  <c r="K57" i="2"/>
  <c r="L181" i="4"/>
  <c r="L189" i="4" s="1"/>
  <c r="L39" i="4" s="1"/>
  <c r="L156" i="4" s="1"/>
  <c r="L164" i="4"/>
  <c r="J40" i="4"/>
  <c r="J165" i="4"/>
  <c r="J240" i="4"/>
  <c r="I51" i="2"/>
  <c r="J119" i="2"/>
  <c r="J122" i="2" s="1"/>
  <c r="K122" i="9"/>
  <c r="K125" i="9" s="1"/>
  <c r="K56" i="9" s="1"/>
  <c r="J56" i="9"/>
  <c r="K164" i="4"/>
  <c r="K181" i="4"/>
  <c r="K189" i="4" s="1"/>
  <c r="K39" i="4" s="1"/>
  <c r="K156" i="4" s="1"/>
  <c r="H154" i="11"/>
  <c r="J34" i="12"/>
  <c r="J36" i="12" s="1"/>
  <c r="K133" i="5"/>
  <c r="K193" i="5"/>
  <c r="K156" i="5"/>
  <c r="K109" i="5"/>
  <c r="K173" i="5"/>
  <c r="K59" i="5"/>
  <c r="K135" i="5"/>
  <c r="K138" i="5" s="1"/>
  <c r="K69" i="5" s="1"/>
  <c r="J69" i="5"/>
  <c r="K121" i="2"/>
  <c r="K129" i="2" s="1"/>
  <c r="K25" i="2" s="1"/>
  <c r="K95" i="2" s="1"/>
  <c r="K104" i="2"/>
  <c r="J83" i="7"/>
  <c r="I108" i="7"/>
  <c r="K75" i="2"/>
  <c r="J101" i="2"/>
  <c r="J126" i="7"/>
  <c r="J129" i="7" s="1"/>
  <c r="I60" i="7"/>
  <c r="K148" i="11"/>
  <c r="K95" i="11"/>
  <c r="K45" i="11"/>
  <c r="K165" i="11"/>
  <c r="K119" i="11"/>
  <c r="J122" i="11"/>
  <c r="J125" i="11" s="1"/>
  <c r="I56" i="11"/>
  <c r="M260" i="2"/>
  <c r="M8" i="2" s="1"/>
  <c r="M9" i="2" s="1"/>
  <c r="J52" i="11"/>
  <c r="J101" i="11" s="1"/>
  <c r="I101" i="12"/>
  <c r="J105" i="8"/>
  <c r="G293" i="4" l="1"/>
  <c r="F268" i="4"/>
  <c r="K109" i="4"/>
  <c r="K158" i="4" s="1"/>
  <c r="K47" i="2"/>
  <c r="K98" i="2" s="1"/>
  <c r="L46" i="2"/>
  <c r="I242" i="4"/>
  <c r="L66" i="2"/>
  <c r="L63" i="2"/>
  <c r="L48" i="2"/>
  <c r="L62" i="2"/>
  <c r="K126" i="7"/>
  <c r="K129" i="7" s="1"/>
  <c r="K60" i="7" s="1"/>
  <c r="J60" i="7"/>
  <c r="L240" i="4"/>
  <c r="L165" i="4"/>
  <c r="I78" i="6"/>
  <c r="I106" i="6"/>
  <c r="J70" i="6"/>
  <c r="L45" i="2"/>
  <c r="K34" i="12"/>
  <c r="K36" i="12" s="1"/>
  <c r="K66" i="11"/>
  <c r="J102" i="11"/>
  <c r="J74" i="11"/>
  <c r="J80" i="11" s="1"/>
  <c r="J159" i="4"/>
  <c r="J241" i="4" s="1"/>
  <c r="K123" i="4"/>
  <c r="J131" i="4"/>
  <c r="K122" i="12"/>
  <c r="K125" i="12" s="1"/>
  <c r="K56" i="12" s="1"/>
  <c r="J56" i="12"/>
  <c r="J108" i="6"/>
  <c r="K83" i="6"/>
  <c r="K108" i="6" s="1"/>
  <c r="K122" i="11"/>
  <c r="K125" i="11" s="1"/>
  <c r="K56" i="11" s="1"/>
  <c r="J56" i="11"/>
  <c r="L40" i="4"/>
  <c r="K74" i="10"/>
  <c r="K102" i="10"/>
  <c r="K105" i="7"/>
  <c r="K54" i="7"/>
  <c r="M269" i="2"/>
  <c r="M37" i="2"/>
  <c r="M185" i="2" s="1"/>
  <c r="K52" i="12"/>
  <c r="K101" i="12" s="1"/>
  <c r="J51" i="2"/>
  <c r="K119" i="2"/>
  <c r="K122" i="2" s="1"/>
  <c r="J87" i="5"/>
  <c r="K79" i="5"/>
  <c r="J115" i="5"/>
  <c r="J197" i="5" s="1"/>
  <c r="J198" i="5" s="1"/>
  <c r="J105" i="11"/>
  <c r="L269" i="2"/>
  <c r="L37" i="2"/>
  <c r="L185" i="2" s="1"/>
  <c r="J27" i="2"/>
  <c r="L75" i="2"/>
  <c r="K101" i="2"/>
  <c r="K100" i="2"/>
  <c r="L57" i="2"/>
  <c r="L107" i="4"/>
  <c r="J60" i="6"/>
  <c r="K126" i="6"/>
  <c r="K129" i="6" s="1"/>
  <c r="K60" i="6" s="1"/>
  <c r="I106" i="7"/>
  <c r="I78" i="7"/>
  <c r="J70" i="7"/>
  <c r="D30" i="3"/>
  <c r="G30" i="3" s="1"/>
  <c r="I30" i="3" s="1"/>
  <c r="H215" i="2"/>
  <c r="H217" i="2" s="1"/>
  <c r="L121" i="2"/>
  <c r="L129" i="2" s="1"/>
  <c r="L25" i="2" s="1"/>
  <c r="L95" i="2" s="1"/>
  <c r="L104" i="2"/>
  <c r="H155" i="11"/>
  <c r="H111" i="11" s="1"/>
  <c r="H114" i="11" s="1"/>
  <c r="H116" i="11" s="1"/>
  <c r="H49" i="11" s="1"/>
  <c r="K179" i="4"/>
  <c r="K182" i="4" s="1"/>
  <c r="J113" i="4"/>
  <c r="J99" i="2"/>
  <c r="J187" i="2" s="1"/>
  <c r="J188" i="2" s="1"/>
  <c r="K61" i="2"/>
  <c r="I154" i="11"/>
  <c r="I187" i="2"/>
  <c r="I188" i="2" s="1"/>
  <c r="J107" i="7"/>
  <c r="K66" i="7"/>
  <c r="K107" i="7" s="1"/>
  <c r="D29" i="3"/>
  <c r="G29" i="3" s="1"/>
  <c r="I29" i="3" s="1"/>
  <c r="H206" i="2"/>
  <c r="F10" i="3"/>
  <c r="D275" i="2" s="1"/>
  <c r="D276" i="2" s="1"/>
  <c r="E4" i="3"/>
  <c r="K54" i="6"/>
  <c r="K105" i="6" s="1"/>
  <c r="J108" i="7"/>
  <c r="K83" i="7"/>
  <c r="K108" i="7" s="1"/>
  <c r="K186" i="2"/>
  <c r="K105" i="2"/>
  <c r="J78" i="8"/>
  <c r="J106" i="8"/>
  <c r="K70" i="8"/>
  <c r="L136" i="4"/>
  <c r="L161" i="4" s="1"/>
  <c r="K161" i="4"/>
  <c r="K26" i="2"/>
  <c r="L12" i="3"/>
  <c r="F20" i="3" s="1"/>
  <c r="E34" i="3"/>
  <c r="H82" i="2" s="1"/>
  <c r="J105" i="6"/>
  <c r="J74" i="12"/>
  <c r="J80" i="12" s="1"/>
  <c r="K66" i="12"/>
  <c r="J102" i="12"/>
  <c r="K240" i="4"/>
  <c r="K165" i="4"/>
  <c r="K160" i="4"/>
  <c r="L119" i="4"/>
  <c r="L160" i="4" s="1"/>
  <c r="K66" i="6"/>
  <c r="K107" i="6" s="1"/>
  <c r="J107" i="6"/>
  <c r="L10" i="2"/>
  <c r="L15" i="2"/>
  <c r="K52" i="11"/>
  <c r="K101" i="11"/>
  <c r="M28" i="2"/>
  <c r="M97" i="2" s="1"/>
  <c r="M11" i="2"/>
  <c r="L21" i="1"/>
  <c r="M13" i="2"/>
  <c r="M128" i="2"/>
  <c r="M120" i="2"/>
  <c r="J239" i="4"/>
  <c r="K30" i="11"/>
  <c r="K31" i="11"/>
  <c r="K98" i="11" s="1"/>
  <c r="K40" i="4"/>
  <c r="L109" i="4" l="1"/>
  <c r="L158" i="4" s="1"/>
  <c r="G31" i="3"/>
  <c r="L47" i="2"/>
  <c r="L98" i="2" s="1"/>
  <c r="M66" i="2"/>
  <c r="M10" i="2"/>
  <c r="M15" i="2"/>
  <c r="I31" i="3"/>
  <c r="I231" i="2" s="1"/>
  <c r="H68" i="2"/>
  <c r="H70" i="2" s="1"/>
  <c r="K74" i="12"/>
  <c r="K80" i="12" s="1"/>
  <c r="K102" i="12"/>
  <c r="M63" i="2"/>
  <c r="L119" i="2"/>
  <c r="L122" i="2" s="1"/>
  <c r="K51" i="2"/>
  <c r="K99" i="2"/>
  <c r="K187" i="2" s="1"/>
  <c r="K188" i="2" s="1"/>
  <c r="L61" i="2"/>
  <c r="M48" i="2"/>
  <c r="M45" i="2"/>
  <c r="I215" i="2"/>
  <c r="I217" i="2" s="1"/>
  <c r="J242" i="4"/>
  <c r="M62" i="2"/>
  <c r="K131" i="4"/>
  <c r="L123" i="4"/>
  <c r="K159" i="4"/>
  <c r="K241" i="4" s="1"/>
  <c r="K239" i="4"/>
  <c r="M121" i="2"/>
  <c r="M129" i="2" s="1"/>
  <c r="M25" i="2" s="1"/>
  <c r="M95" i="2" s="1"/>
  <c r="M104" i="2"/>
  <c r="K78" i="8"/>
  <c r="K106" i="8"/>
  <c r="J78" i="7"/>
  <c r="J106" i="7"/>
  <c r="K70" i="7"/>
  <c r="M57" i="2"/>
  <c r="M100" i="2" s="1"/>
  <c r="L100" i="2"/>
  <c r="J106" i="6"/>
  <c r="J78" i="6"/>
  <c r="K70" i="6"/>
  <c r="L26" i="2"/>
  <c r="J154" i="11"/>
  <c r="K105" i="11"/>
  <c r="H55" i="2"/>
  <c r="L179" i="4"/>
  <c r="L182" i="4" s="1"/>
  <c r="L113" i="4" s="1"/>
  <c r="K113" i="4"/>
  <c r="M46" i="2"/>
  <c r="M47" i="3"/>
  <c r="M191" i="2"/>
  <c r="F22" i="3"/>
  <c r="F24" i="3" s="1"/>
  <c r="F17" i="3" s="1"/>
  <c r="F11" i="3" s="1"/>
  <c r="H230" i="2"/>
  <c r="K27" i="2"/>
  <c r="E10" i="3"/>
  <c r="I49" i="11"/>
  <c r="H55" i="11"/>
  <c r="H63" i="11" s="1"/>
  <c r="H92" i="11" s="1"/>
  <c r="I152" i="11"/>
  <c r="I155" i="11" s="1"/>
  <c r="I111" i="11" s="1"/>
  <c r="I114" i="11" s="1"/>
  <c r="I116" i="11" s="1"/>
  <c r="M75" i="2"/>
  <c r="M101" i="2" s="1"/>
  <c r="L101" i="2"/>
  <c r="K115" i="5"/>
  <c r="K197" i="5" s="1"/>
  <c r="K198" i="5" s="1"/>
  <c r="K87" i="5"/>
  <c r="L239" i="4"/>
  <c r="K74" i="11"/>
  <c r="K80" i="11" s="1"/>
  <c r="K102" i="11"/>
  <c r="L186" i="2"/>
  <c r="L105" i="2"/>
  <c r="M47" i="2" l="1"/>
  <c r="M98" i="2" s="1"/>
  <c r="H197" i="2"/>
  <c r="H196" i="2"/>
  <c r="H198" i="2"/>
  <c r="I55" i="2"/>
  <c r="J55" i="2" s="1"/>
  <c r="K55" i="2" s="1"/>
  <c r="L55" i="2" s="1"/>
  <c r="M55" i="2" s="1"/>
  <c r="H58" i="2"/>
  <c r="L27" i="2"/>
  <c r="J215" i="2"/>
  <c r="J217" i="2" s="1"/>
  <c r="K231" i="2"/>
  <c r="L231" i="2"/>
  <c r="M231" i="2"/>
  <c r="J231" i="2"/>
  <c r="I218" i="2"/>
  <c r="I219" i="2" s="1"/>
  <c r="I242" i="2" s="1"/>
  <c r="M26" i="2"/>
  <c r="I167" i="2"/>
  <c r="E17" i="3"/>
  <c r="F14" i="3"/>
  <c r="K106" i="6"/>
  <c r="K78" i="6"/>
  <c r="K154" i="11"/>
  <c r="L131" i="4"/>
  <c r="L159" i="4"/>
  <c r="L241" i="4" s="1"/>
  <c r="L242" i="4" s="1"/>
  <c r="L51" i="2"/>
  <c r="M119" i="2"/>
  <c r="M122" i="2" s="1"/>
  <c r="M51" i="2" s="1"/>
  <c r="I230" i="2"/>
  <c r="J230" i="2" s="1"/>
  <c r="K230" i="2" s="1"/>
  <c r="L230" i="2" s="1"/>
  <c r="M230" i="2" s="1"/>
  <c r="H232" i="2"/>
  <c r="H233" i="2" s="1"/>
  <c r="M186" i="2"/>
  <c r="M105" i="2"/>
  <c r="L245" i="4"/>
  <c r="J152" i="11"/>
  <c r="J155" i="11" s="1"/>
  <c r="J111" i="11" s="1"/>
  <c r="J114" i="11" s="1"/>
  <c r="J116" i="11" s="1"/>
  <c r="J49" i="11"/>
  <c r="I55" i="11"/>
  <c r="I63" i="11" s="1"/>
  <c r="I92" i="11" s="1"/>
  <c r="K106" i="7"/>
  <c r="K78" i="7"/>
  <c r="K242" i="4"/>
  <c r="L99" i="2"/>
  <c r="L187" i="2" s="1"/>
  <c r="L188" i="2" s="1"/>
  <c r="M61" i="2"/>
  <c r="H207" i="2"/>
  <c r="H209" i="2" s="1"/>
  <c r="I107" i="2"/>
  <c r="H69" i="2"/>
  <c r="K18" i="2" l="1"/>
  <c r="K96" i="2"/>
  <c r="K244" i="2"/>
  <c r="K152" i="11"/>
  <c r="K155" i="11" s="1"/>
  <c r="K111" i="11" s="1"/>
  <c r="K114" i="11" s="1"/>
  <c r="K116" i="11" s="1"/>
  <c r="K49" i="11" s="1"/>
  <c r="K55" i="11" s="1"/>
  <c r="K63" i="11" s="1"/>
  <c r="K92" i="11" s="1"/>
  <c r="J55" i="11"/>
  <c r="J63" i="11" s="1"/>
  <c r="J92" i="11" s="1"/>
  <c r="M99" i="2"/>
  <c r="M187" i="2" s="1"/>
  <c r="M188" i="2" s="1"/>
  <c r="M27" i="2"/>
  <c r="K218" i="2"/>
  <c r="K219" i="2" s="1"/>
  <c r="K242" i="2" s="1"/>
  <c r="K215" i="2"/>
  <c r="K217" i="2" s="1"/>
  <c r="J218" i="2"/>
  <c r="J219" i="2" s="1"/>
  <c r="J242" i="2" s="1"/>
  <c r="E14" i="3"/>
  <c r="D277" i="2"/>
  <c r="C195" i="2" s="1"/>
  <c r="H40" i="3"/>
  <c r="H43" i="3" s="1"/>
  <c r="F15" i="3"/>
  <c r="D35" i="3" s="1"/>
  <c r="G14" i="3"/>
  <c r="H81" i="2"/>
  <c r="G251" i="4"/>
  <c r="G250" i="4"/>
  <c r="G252" i="4"/>
  <c r="G249" i="4"/>
  <c r="J18" i="2"/>
  <c r="J244" i="2"/>
  <c r="J96" i="2"/>
  <c r="M244" i="2"/>
  <c r="M96" i="2"/>
  <c r="M18" i="2"/>
  <c r="L96" i="2"/>
  <c r="L244" i="2"/>
  <c r="L18" i="2"/>
  <c r="H237" i="2"/>
  <c r="I232" i="2"/>
  <c r="I233" i="2" s="1"/>
  <c r="H71" i="2"/>
  <c r="H76" i="2" s="1"/>
  <c r="I68" i="2"/>
  <c r="H236" i="2"/>
  <c r="I206" i="2"/>
  <c r="I244" i="2"/>
  <c r="I96" i="2"/>
  <c r="I18" i="2"/>
  <c r="H238" i="2" l="1"/>
  <c r="I207" i="2"/>
  <c r="I209" i="2" s="1"/>
  <c r="J107" i="2"/>
  <c r="I69" i="2"/>
  <c r="I70" i="2"/>
  <c r="I81" i="2"/>
  <c r="H85" i="2"/>
  <c r="H86" i="2" s="1"/>
  <c r="H88" i="2" s="1"/>
  <c r="L215" i="2"/>
  <c r="L217" i="2" s="1"/>
  <c r="I237" i="2"/>
  <c r="J232" i="2"/>
  <c r="J233" i="2" s="1"/>
  <c r="I71" i="2"/>
  <c r="H195" i="2"/>
  <c r="I236" i="2" l="1"/>
  <c r="I238" i="2" s="1"/>
  <c r="J206" i="2"/>
  <c r="J68" i="2"/>
  <c r="I210" i="2"/>
  <c r="I211" i="2" s="1"/>
  <c r="M215" i="2"/>
  <c r="M217" i="2" s="1"/>
  <c r="M218" i="2" s="1"/>
  <c r="M219" i="2" s="1"/>
  <c r="M242" i="2" s="1"/>
  <c r="J81" i="2"/>
  <c r="J167" i="2"/>
  <c r="I153" i="2"/>
  <c r="K232" i="2"/>
  <c r="K233" i="2" s="1"/>
  <c r="J71" i="2"/>
  <c r="J237" i="2"/>
  <c r="L218" i="2"/>
  <c r="L219" i="2" s="1"/>
  <c r="L242" i="2" s="1"/>
  <c r="K81" i="2" l="1"/>
  <c r="K237" i="2"/>
  <c r="K71" i="2"/>
  <c r="L232" i="2"/>
  <c r="L233" i="2" s="1"/>
  <c r="I241" i="2"/>
  <c r="J207" i="2"/>
  <c r="J209" i="2" s="1"/>
  <c r="K107" i="2"/>
  <c r="J69" i="2"/>
  <c r="J70" i="2"/>
  <c r="J236" i="2" l="1"/>
  <c r="J238" i="2" s="1"/>
  <c r="K206" i="2"/>
  <c r="K68" i="2"/>
  <c r="J210" i="2"/>
  <c r="J211" i="2" s="1"/>
  <c r="M232" i="2"/>
  <c r="M233" i="2" s="1"/>
  <c r="L71" i="2"/>
  <c r="L237" i="2"/>
  <c r="J153" i="2"/>
  <c r="K167" i="2"/>
  <c r="L81" i="2"/>
  <c r="M71" i="2" l="1"/>
  <c r="M237" i="2"/>
  <c r="J241" i="2"/>
  <c r="M81" i="2"/>
  <c r="L107" i="2"/>
  <c r="K207" i="2"/>
  <c r="K209" i="2" s="1"/>
  <c r="K69" i="2"/>
  <c r="K70" i="2"/>
  <c r="L206" i="2" l="1"/>
  <c r="L68" i="2"/>
  <c r="L70" i="2" s="1"/>
  <c r="K236" i="2"/>
  <c r="K238" i="2" s="1"/>
  <c r="K210" i="2"/>
  <c r="K211" i="2" s="1"/>
  <c r="K153" i="2"/>
  <c r="L167" i="2"/>
  <c r="K241" i="2" l="1"/>
  <c r="M167" i="2"/>
  <c r="L153" i="2"/>
  <c r="M107" i="2"/>
  <c r="L207" i="2"/>
  <c r="L209" i="2" s="1"/>
  <c r="L69" i="2"/>
  <c r="M206" i="2" l="1"/>
  <c r="M68" i="2"/>
  <c r="L236" i="2"/>
  <c r="L238" i="2" s="1"/>
  <c r="L210" i="2"/>
  <c r="L211" i="2" s="1"/>
  <c r="M207" i="2" l="1"/>
  <c r="M209" i="2" s="1"/>
  <c r="M69" i="2"/>
  <c r="M70" i="2"/>
  <c r="L241" i="2"/>
  <c r="M236" i="2" l="1"/>
  <c r="M238" i="2" s="1"/>
  <c r="M210" i="2"/>
  <c r="M211" i="2" s="1"/>
  <c r="M153" i="2"/>
  <c r="M241" i="2" l="1"/>
  <c r="G26" i="6" l="1"/>
  <c r="H26" i="6"/>
  <c r="I26" i="6"/>
  <c r="J26" i="6"/>
  <c r="K26" i="6"/>
  <c r="G27" i="6"/>
  <c r="H27" i="6"/>
  <c r="I27" i="6"/>
  <c r="J27" i="6"/>
  <c r="K27" i="6"/>
  <c r="G31" i="6"/>
  <c r="H31" i="6"/>
  <c r="I31" i="6"/>
  <c r="J31" i="6"/>
  <c r="K31" i="6"/>
  <c r="G32" i="6"/>
  <c r="H32" i="6"/>
  <c r="I32" i="6"/>
  <c r="J32" i="6"/>
  <c r="K32" i="6"/>
  <c r="G33" i="6"/>
  <c r="H33" i="6"/>
  <c r="I33" i="6"/>
  <c r="J33" i="6"/>
  <c r="K33" i="6"/>
  <c r="G53" i="6"/>
  <c r="H53" i="6"/>
  <c r="I53" i="6"/>
  <c r="J53" i="6"/>
  <c r="K53" i="6"/>
  <c r="G59" i="6"/>
  <c r="H59" i="6"/>
  <c r="I59" i="6"/>
  <c r="J59" i="6"/>
  <c r="K59" i="6"/>
  <c r="G67" i="6"/>
  <c r="H67" i="6"/>
  <c r="I67" i="6"/>
  <c r="J67" i="6"/>
  <c r="K67" i="6"/>
  <c r="G79" i="6"/>
  <c r="H79" i="6"/>
  <c r="I79" i="6"/>
  <c r="J79" i="6"/>
  <c r="K79" i="6"/>
  <c r="G84" i="6"/>
  <c r="H84" i="6"/>
  <c r="I84" i="6"/>
  <c r="J84" i="6"/>
  <c r="K84" i="6"/>
  <c r="G90" i="6"/>
  <c r="H90" i="6"/>
  <c r="I90" i="6"/>
  <c r="J90" i="6"/>
  <c r="K90" i="6"/>
  <c r="G93" i="6"/>
  <c r="H93" i="6"/>
  <c r="I93" i="6"/>
  <c r="J93" i="6"/>
  <c r="K93" i="6"/>
  <c r="G94" i="6"/>
  <c r="H94" i="6"/>
  <c r="I94" i="6"/>
  <c r="J94" i="6"/>
  <c r="K94" i="6"/>
  <c r="G96" i="6"/>
  <c r="H96" i="6"/>
  <c r="I96" i="6"/>
  <c r="J96" i="6"/>
  <c r="K96" i="6"/>
  <c r="G102" i="6"/>
  <c r="H102" i="6"/>
  <c r="I102" i="6"/>
  <c r="J102" i="6"/>
  <c r="K102" i="6"/>
  <c r="G109" i="6"/>
  <c r="H109" i="6"/>
  <c r="I109" i="6"/>
  <c r="J109" i="6"/>
  <c r="K109" i="6"/>
  <c r="G120" i="6"/>
  <c r="H120" i="6"/>
  <c r="I120" i="6"/>
  <c r="J120" i="6"/>
  <c r="K120" i="6"/>
  <c r="H139" i="6"/>
  <c r="I139" i="6"/>
  <c r="J139" i="6"/>
  <c r="K139" i="6"/>
  <c r="G140" i="6"/>
  <c r="H140" i="6"/>
  <c r="I140" i="6"/>
  <c r="J140" i="6"/>
  <c r="K140" i="6"/>
  <c r="G143" i="6"/>
  <c r="H143" i="6"/>
  <c r="I143" i="6"/>
  <c r="J143" i="6"/>
  <c r="K143" i="6"/>
  <c r="H150" i="6"/>
  <c r="I150" i="6"/>
  <c r="J150" i="6"/>
  <c r="K150" i="6"/>
  <c r="G152" i="6"/>
  <c r="H152" i="6"/>
  <c r="I152" i="6"/>
  <c r="J152" i="6"/>
  <c r="K152" i="6"/>
  <c r="G153" i="6"/>
  <c r="H153" i="6"/>
  <c r="I153" i="6"/>
  <c r="J153" i="6"/>
  <c r="K153" i="6"/>
  <c r="H156" i="6"/>
  <c r="I156" i="6"/>
  <c r="J156" i="6"/>
  <c r="K156" i="6"/>
  <c r="G157" i="6"/>
  <c r="H157" i="6"/>
  <c r="I157" i="6"/>
  <c r="J157" i="6"/>
  <c r="K157" i="6"/>
  <c r="G159" i="6"/>
  <c r="H159" i="6"/>
  <c r="I159" i="6"/>
  <c r="J159" i="6"/>
  <c r="K159" i="6"/>
  <c r="G160" i="6"/>
  <c r="H160" i="6"/>
  <c r="I160" i="6"/>
  <c r="J160" i="6"/>
  <c r="K160" i="6"/>
  <c r="G166" i="6"/>
  <c r="H166" i="6"/>
  <c r="I166" i="6"/>
  <c r="J166" i="6"/>
  <c r="K166" i="6"/>
  <c r="G170" i="6"/>
  <c r="H170" i="6"/>
  <c r="I170" i="6"/>
  <c r="J170" i="6"/>
  <c r="K170" i="6"/>
  <c r="G171" i="6"/>
  <c r="H171" i="6"/>
  <c r="I171" i="6"/>
  <c r="J171" i="6"/>
  <c r="K171" i="6"/>
  <c r="G174" i="6"/>
  <c r="H174" i="6"/>
  <c r="I174" i="6"/>
  <c r="J174" i="6"/>
  <c r="K174" i="6"/>
  <c r="G176" i="6"/>
  <c r="H176" i="6"/>
  <c r="I176" i="6"/>
  <c r="J176" i="6"/>
  <c r="K176" i="6"/>
  <c r="G180" i="6"/>
  <c r="H180" i="6"/>
  <c r="I180" i="6"/>
  <c r="J180" i="6"/>
  <c r="K180" i="6"/>
  <c r="I16" i="2"/>
  <c r="J16" i="2"/>
  <c r="K16" i="2"/>
  <c r="L16" i="2"/>
  <c r="M16" i="2"/>
  <c r="I17" i="2"/>
  <c r="J17" i="2"/>
  <c r="K17" i="2"/>
  <c r="L17" i="2"/>
  <c r="M17" i="2"/>
  <c r="I22" i="2"/>
  <c r="J22" i="2"/>
  <c r="K22" i="2"/>
  <c r="L22" i="2"/>
  <c r="M22" i="2"/>
  <c r="I23" i="2"/>
  <c r="J23" i="2"/>
  <c r="K23" i="2"/>
  <c r="L23" i="2"/>
  <c r="M23" i="2"/>
  <c r="I24" i="2"/>
  <c r="J24" i="2"/>
  <c r="K24" i="2"/>
  <c r="L24" i="2"/>
  <c r="M24" i="2"/>
  <c r="I44" i="2"/>
  <c r="J44" i="2"/>
  <c r="K44" i="2"/>
  <c r="L44" i="2"/>
  <c r="M44" i="2"/>
  <c r="I50" i="2"/>
  <c r="J50" i="2"/>
  <c r="K50" i="2"/>
  <c r="L50" i="2"/>
  <c r="M50" i="2"/>
  <c r="I58" i="2"/>
  <c r="J58" i="2"/>
  <c r="K58" i="2"/>
  <c r="L58" i="2"/>
  <c r="M58" i="2"/>
  <c r="I76" i="2"/>
  <c r="J76" i="2"/>
  <c r="K76" i="2"/>
  <c r="L76" i="2"/>
  <c r="M76" i="2"/>
  <c r="I77" i="2"/>
  <c r="J77" i="2"/>
  <c r="K77" i="2"/>
  <c r="L77" i="2"/>
  <c r="M77" i="2"/>
  <c r="I82" i="2"/>
  <c r="J82" i="2"/>
  <c r="K82" i="2"/>
  <c r="L82" i="2"/>
  <c r="M82" i="2"/>
  <c r="I85" i="2"/>
  <c r="J85" i="2"/>
  <c r="K85" i="2"/>
  <c r="L85" i="2"/>
  <c r="M85" i="2"/>
  <c r="I86" i="2"/>
  <c r="J86" i="2"/>
  <c r="K86" i="2"/>
  <c r="L86" i="2"/>
  <c r="M86" i="2"/>
  <c r="I88" i="2"/>
  <c r="J88" i="2"/>
  <c r="K88" i="2"/>
  <c r="L88" i="2"/>
  <c r="M88" i="2"/>
  <c r="I94" i="2"/>
  <c r="J94" i="2"/>
  <c r="K94" i="2"/>
  <c r="L94" i="2"/>
  <c r="M94" i="2"/>
  <c r="I102" i="2"/>
  <c r="J102" i="2"/>
  <c r="K102" i="2"/>
  <c r="L102" i="2"/>
  <c r="M102" i="2"/>
  <c r="I108" i="2"/>
  <c r="J108" i="2"/>
  <c r="K108" i="2"/>
  <c r="L108" i="2"/>
  <c r="M108" i="2"/>
  <c r="I111" i="2"/>
  <c r="J111" i="2"/>
  <c r="K111" i="2"/>
  <c r="L111" i="2"/>
  <c r="M111" i="2"/>
  <c r="I113" i="2"/>
  <c r="J113" i="2"/>
  <c r="K113" i="2"/>
  <c r="L113" i="2"/>
  <c r="M113" i="2"/>
  <c r="J132" i="2"/>
  <c r="K132" i="2"/>
  <c r="L132" i="2"/>
  <c r="M132" i="2"/>
  <c r="I133" i="2"/>
  <c r="J133" i="2"/>
  <c r="K133" i="2"/>
  <c r="L133" i="2"/>
  <c r="M133" i="2"/>
  <c r="I136" i="2"/>
  <c r="J136" i="2"/>
  <c r="K136" i="2"/>
  <c r="L136" i="2"/>
  <c r="M136" i="2"/>
  <c r="J143" i="2"/>
  <c r="K143" i="2"/>
  <c r="L143" i="2"/>
  <c r="M143" i="2"/>
  <c r="I145" i="2"/>
  <c r="J145" i="2"/>
  <c r="K145" i="2"/>
  <c r="L145" i="2"/>
  <c r="M145" i="2"/>
  <c r="I146" i="2"/>
  <c r="J146" i="2"/>
  <c r="K146" i="2"/>
  <c r="L146" i="2"/>
  <c r="M146" i="2"/>
  <c r="J149" i="2"/>
  <c r="K149" i="2"/>
  <c r="L149" i="2"/>
  <c r="M149" i="2"/>
  <c r="I150" i="2"/>
  <c r="J150" i="2"/>
  <c r="K150" i="2"/>
  <c r="L150" i="2"/>
  <c r="M150" i="2"/>
  <c r="I152" i="2"/>
  <c r="J152" i="2"/>
  <c r="K152" i="2"/>
  <c r="L152" i="2"/>
  <c r="M152" i="2"/>
  <c r="I159" i="2"/>
  <c r="J159" i="2"/>
  <c r="K159" i="2"/>
  <c r="L159" i="2"/>
  <c r="M159" i="2"/>
  <c r="I163" i="2"/>
  <c r="J163" i="2"/>
  <c r="K163" i="2"/>
  <c r="L163" i="2"/>
  <c r="M163" i="2"/>
  <c r="I164" i="2"/>
  <c r="J164" i="2"/>
  <c r="K164" i="2"/>
  <c r="L164" i="2"/>
  <c r="M164" i="2"/>
  <c r="I168" i="2"/>
  <c r="J168" i="2"/>
  <c r="K168" i="2"/>
  <c r="L168" i="2"/>
  <c r="M168" i="2"/>
  <c r="I172" i="2"/>
  <c r="J172" i="2"/>
  <c r="K172" i="2"/>
  <c r="L172" i="2"/>
  <c r="M172" i="2"/>
  <c r="I178" i="2"/>
  <c r="J178" i="2"/>
  <c r="K178" i="2"/>
  <c r="L178" i="2"/>
  <c r="M178" i="2"/>
  <c r="I189" i="2"/>
  <c r="J189" i="2"/>
  <c r="K189" i="2"/>
  <c r="L189" i="2"/>
  <c r="M189" i="2"/>
  <c r="I190" i="2"/>
  <c r="J190" i="2"/>
  <c r="K190" i="2"/>
  <c r="L190" i="2"/>
  <c r="M190" i="2"/>
  <c r="I192" i="2"/>
  <c r="J192" i="2"/>
  <c r="K192" i="2"/>
  <c r="L192" i="2"/>
  <c r="M192" i="2"/>
  <c r="F195" i="2"/>
  <c r="J195" i="2"/>
  <c r="K195" i="2"/>
  <c r="F196" i="2"/>
  <c r="J196" i="2"/>
  <c r="K196" i="2"/>
  <c r="F197" i="2"/>
  <c r="J197" i="2"/>
  <c r="K197" i="2"/>
  <c r="F198" i="2"/>
  <c r="J198" i="2"/>
  <c r="K198" i="2"/>
  <c r="J223" i="2"/>
  <c r="K223" i="2"/>
  <c r="L223" i="2"/>
  <c r="M223" i="2"/>
  <c r="I224" i="2"/>
  <c r="J224" i="2"/>
  <c r="K224" i="2"/>
  <c r="L224" i="2"/>
  <c r="M224" i="2"/>
  <c r="I225" i="2"/>
  <c r="J225" i="2"/>
  <c r="K225" i="2"/>
  <c r="L225" i="2"/>
  <c r="M225" i="2"/>
  <c r="I226" i="2"/>
  <c r="J226" i="2"/>
  <c r="K226" i="2"/>
  <c r="L226" i="2"/>
  <c r="M226" i="2"/>
  <c r="I227" i="2"/>
  <c r="J227" i="2"/>
  <c r="K227" i="2"/>
  <c r="L227" i="2"/>
  <c r="M227" i="2"/>
  <c r="I243" i="2"/>
  <c r="J243" i="2"/>
  <c r="K243" i="2"/>
  <c r="L243" i="2"/>
  <c r="M243" i="2"/>
  <c r="I245" i="2"/>
  <c r="J245" i="2"/>
  <c r="K245" i="2"/>
  <c r="L245" i="2"/>
  <c r="M245" i="2"/>
  <c r="M42" i="3"/>
  <c r="M43" i="3"/>
  <c r="M45" i="3"/>
  <c r="M48" i="3"/>
  <c r="M49" i="3"/>
  <c r="M50" i="3"/>
  <c r="D52" i="3"/>
  <c r="D53" i="3"/>
  <c r="E56" i="3"/>
  <c r="E64" i="3"/>
  <c r="G24" i="12"/>
  <c r="H24" i="12"/>
  <c r="I24" i="12"/>
  <c r="J24" i="12"/>
  <c r="K24" i="12"/>
  <c r="G25" i="12"/>
  <c r="H25" i="12"/>
  <c r="I25" i="12"/>
  <c r="J25" i="12"/>
  <c r="K25" i="12"/>
  <c r="G29" i="12"/>
  <c r="H29" i="12"/>
  <c r="I29" i="12"/>
  <c r="J29" i="12"/>
  <c r="K29" i="12"/>
  <c r="G30" i="12"/>
  <c r="H30" i="12"/>
  <c r="I30" i="12"/>
  <c r="J30" i="12"/>
  <c r="K30" i="12"/>
  <c r="G31" i="12"/>
  <c r="H31" i="12"/>
  <c r="I31" i="12"/>
  <c r="J31" i="12"/>
  <c r="K31" i="12"/>
  <c r="G49" i="12"/>
  <c r="H49" i="12"/>
  <c r="I49" i="12"/>
  <c r="J49" i="12"/>
  <c r="K49" i="12"/>
  <c r="G55" i="12"/>
  <c r="H55" i="12"/>
  <c r="I55" i="12"/>
  <c r="J55" i="12"/>
  <c r="K55" i="12"/>
  <c r="G63" i="12"/>
  <c r="H63" i="12"/>
  <c r="I63" i="12"/>
  <c r="J63" i="12"/>
  <c r="K63" i="12"/>
  <c r="G81" i="12"/>
  <c r="H81" i="12"/>
  <c r="I81" i="12"/>
  <c r="J81" i="12"/>
  <c r="K81" i="12"/>
  <c r="G86" i="12"/>
  <c r="H86" i="12"/>
  <c r="I86" i="12"/>
  <c r="J86" i="12"/>
  <c r="K86" i="12"/>
  <c r="G89" i="12"/>
  <c r="H89" i="12"/>
  <c r="I89" i="12"/>
  <c r="J89" i="12"/>
  <c r="K89" i="12"/>
  <c r="G90" i="12"/>
  <c r="H90" i="12"/>
  <c r="I90" i="12"/>
  <c r="J90" i="12"/>
  <c r="K90" i="12"/>
  <c r="G92" i="12"/>
  <c r="H92" i="12"/>
  <c r="I92" i="12"/>
  <c r="J92" i="12"/>
  <c r="K92" i="12"/>
  <c r="G98" i="12"/>
  <c r="H98" i="12"/>
  <c r="I98" i="12"/>
  <c r="J98" i="12"/>
  <c r="K98" i="12"/>
  <c r="G105" i="12"/>
  <c r="H105" i="12"/>
  <c r="I105" i="12"/>
  <c r="J105" i="12"/>
  <c r="K105" i="12"/>
  <c r="G116" i="12"/>
  <c r="H116" i="12"/>
  <c r="I116" i="12"/>
  <c r="J116" i="12"/>
  <c r="K116" i="12"/>
  <c r="H135" i="12"/>
  <c r="I135" i="12"/>
  <c r="J135" i="12"/>
  <c r="K135" i="12"/>
  <c r="G136" i="12"/>
  <c r="H136" i="12"/>
  <c r="I136" i="12"/>
  <c r="J136" i="12"/>
  <c r="K136" i="12"/>
  <c r="G139" i="12"/>
  <c r="H139" i="12"/>
  <c r="I139" i="12"/>
  <c r="J139" i="12"/>
  <c r="K139" i="12"/>
  <c r="H146" i="12"/>
  <c r="I146" i="12"/>
  <c r="J146" i="12"/>
  <c r="K146" i="12"/>
  <c r="G148" i="12"/>
  <c r="H148" i="12"/>
  <c r="I148" i="12"/>
  <c r="J148" i="12"/>
  <c r="K148" i="12"/>
  <c r="G149" i="12"/>
  <c r="H149" i="12"/>
  <c r="I149" i="12"/>
  <c r="J149" i="12"/>
  <c r="K149" i="12"/>
  <c r="H152" i="12"/>
  <c r="I152" i="12"/>
  <c r="J152" i="12"/>
  <c r="K152" i="12"/>
  <c r="G153" i="12"/>
  <c r="H153" i="12"/>
  <c r="I153" i="12"/>
  <c r="J153" i="12"/>
  <c r="K153" i="12"/>
  <c r="G155" i="12"/>
  <c r="H155" i="12"/>
  <c r="I155" i="12"/>
  <c r="J155" i="12"/>
  <c r="K155" i="12"/>
  <c r="G156" i="12"/>
  <c r="H156" i="12"/>
  <c r="I156" i="12"/>
  <c r="J156" i="12"/>
  <c r="K156" i="12"/>
  <c r="G162" i="12"/>
  <c r="H162" i="12"/>
  <c r="I162" i="12"/>
  <c r="J162" i="12"/>
  <c r="K162" i="12"/>
  <c r="G166" i="12"/>
  <c r="H166" i="12"/>
  <c r="I166" i="12"/>
  <c r="J166" i="12"/>
  <c r="K166" i="12"/>
  <c r="G167" i="12"/>
  <c r="H167" i="12"/>
  <c r="I167" i="12"/>
  <c r="J167" i="12"/>
  <c r="K167" i="12"/>
  <c r="G176" i="12"/>
  <c r="H176" i="12"/>
  <c r="I176" i="12"/>
  <c r="J176" i="12"/>
  <c r="K176" i="12"/>
  <c r="G25" i="10"/>
  <c r="H25" i="10"/>
  <c r="I25" i="10"/>
  <c r="J25" i="10"/>
  <c r="K25" i="10"/>
  <c r="G29" i="10"/>
  <c r="H29" i="10"/>
  <c r="I29" i="10"/>
  <c r="J29" i="10"/>
  <c r="K29" i="10"/>
  <c r="G30" i="10"/>
  <c r="H30" i="10"/>
  <c r="I30" i="10"/>
  <c r="J30" i="10"/>
  <c r="K30" i="10"/>
  <c r="G31" i="10"/>
  <c r="H31" i="10"/>
  <c r="I31" i="10"/>
  <c r="J31" i="10"/>
  <c r="K31" i="10"/>
  <c r="G49" i="10"/>
  <c r="H49" i="10"/>
  <c r="I49" i="10"/>
  <c r="J49" i="10"/>
  <c r="K49" i="10"/>
  <c r="G55" i="10"/>
  <c r="H55" i="10"/>
  <c r="I55" i="10"/>
  <c r="J55" i="10"/>
  <c r="K55" i="10"/>
  <c r="G63" i="10"/>
  <c r="H63" i="10"/>
  <c r="I63" i="10"/>
  <c r="J63" i="10"/>
  <c r="K63" i="10"/>
  <c r="G75" i="10"/>
  <c r="H75" i="10"/>
  <c r="I75" i="10"/>
  <c r="J75" i="10"/>
  <c r="K75" i="10"/>
  <c r="G80" i="10"/>
  <c r="H80" i="10"/>
  <c r="I80" i="10"/>
  <c r="J80" i="10"/>
  <c r="K80" i="10"/>
  <c r="G86" i="10"/>
  <c r="H86" i="10"/>
  <c r="I86" i="10"/>
  <c r="J86" i="10"/>
  <c r="K86" i="10"/>
  <c r="G89" i="10"/>
  <c r="H89" i="10"/>
  <c r="I89" i="10"/>
  <c r="J89" i="10"/>
  <c r="K89" i="10"/>
  <c r="G90" i="10"/>
  <c r="H90" i="10"/>
  <c r="I90" i="10"/>
  <c r="J90" i="10"/>
  <c r="K90" i="10"/>
  <c r="G92" i="10"/>
  <c r="H92" i="10"/>
  <c r="I92" i="10"/>
  <c r="J92" i="10"/>
  <c r="K92" i="10"/>
  <c r="G98" i="10"/>
  <c r="H98" i="10"/>
  <c r="I98" i="10"/>
  <c r="J98" i="10"/>
  <c r="K98" i="10"/>
  <c r="G105" i="10"/>
  <c r="H105" i="10"/>
  <c r="I105" i="10"/>
  <c r="J105" i="10"/>
  <c r="K105" i="10"/>
  <c r="G116" i="10"/>
  <c r="H116" i="10"/>
  <c r="I116" i="10"/>
  <c r="J116" i="10"/>
  <c r="K116" i="10"/>
  <c r="H135" i="10"/>
  <c r="I135" i="10"/>
  <c r="J135" i="10"/>
  <c r="K135" i="10"/>
  <c r="G136" i="10"/>
  <c r="H136" i="10"/>
  <c r="I136" i="10"/>
  <c r="J136" i="10"/>
  <c r="K136" i="10"/>
  <c r="G139" i="10"/>
  <c r="H139" i="10"/>
  <c r="I139" i="10"/>
  <c r="J139" i="10"/>
  <c r="K139" i="10"/>
  <c r="H146" i="10"/>
  <c r="I146" i="10"/>
  <c r="J146" i="10"/>
  <c r="K146" i="10"/>
  <c r="G148" i="10"/>
  <c r="H148" i="10"/>
  <c r="I148" i="10"/>
  <c r="J148" i="10"/>
  <c r="K148" i="10"/>
  <c r="G149" i="10"/>
  <c r="H149" i="10"/>
  <c r="I149" i="10"/>
  <c r="J149" i="10"/>
  <c r="K149" i="10"/>
  <c r="H152" i="10"/>
  <c r="I152" i="10"/>
  <c r="J152" i="10"/>
  <c r="K152" i="10"/>
  <c r="G153" i="10"/>
  <c r="H153" i="10"/>
  <c r="I153" i="10"/>
  <c r="J153" i="10"/>
  <c r="K153" i="10"/>
  <c r="G155" i="10"/>
  <c r="H155" i="10"/>
  <c r="I155" i="10"/>
  <c r="J155" i="10"/>
  <c r="K155" i="10"/>
  <c r="G156" i="10"/>
  <c r="H156" i="10"/>
  <c r="I156" i="10"/>
  <c r="J156" i="10"/>
  <c r="K156" i="10"/>
  <c r="G162" i="10"/>
  <c r="H162" i="10"/>
  <c r="I162" i="10"/>
  <c r="J162" i="10"/>
  <c r="K162" i="10"/>
  <c r="G166" i="10"/>
  <c r="H166" i="10"/>
  <c r="I166" i="10"/>
  <c r="J166" i="10"/>
  <c r="K166" i="10"/>
  <c r="G167" i="10"/>
  <c r="H167" i="10"/>
  <c r="I167" i="10"/>
  <c r="J167" i="10"/>
  <c r="K167" i="10"/>
  <c r="G170" i="10"/>
  <c r="H170" i="10"/>
  <c r="I170" i="10"/>
  <c r="J170" i="10"/>
  <c r="K170" i="10"/>
  <c r="G172" i="10"/>
  <c r="H172" i="10"/>
  <c r="I172" i="10"/>
  <c r="J172" i="10"/>
  <c r="K172" i="10"/>
  <c r="G176" i="10"/>
  <c r="H176" i="10"/>
  <c r="I176" i="10"/>
  <c r="J176" i="10"/>
  <c r="K176" i="10"/>
  <c r="H30" i="4"/>
  <c r="I30" i="4"/>
  <c r="J30" i="4"/>
  <c r="K30" i="4"/>
  <c r="L30" i="4"/>
  <c r="H31" i="4"/>
  <c r="I31" i="4"/>
  <c r="J31" i="4"/>
  <c r="K31" i="4"/>
  <c r="L31" i="4"/>
  <c r="H35" i="4"/>
  <c r="I35" i="4"/>
  <c r="J35" i="4"/>
  <c r="K35" i="4"/>
  <c r="L35" i="4"/>
  <c r="H36" i="4"/>
  <c r="I36" i="4"/>
  <c r="J36" i="4"/>
  <c r="K36" i="4"/>
  <c r="L36" i="4"/>
  <c r="H37" i="4"/>
  <c r="I37" i="4"/>
  <c r="J37" i="4"/>
  <c r="K37" i="4"/>
  <c r="L37" i="4"/>
  <c r="H106" i="4"/>
  <c r="I106" i="4"/>
  <c r="J106" i="4"/>
  <c r="K106" i="4"/>
  <c r="L106" i="4"/>
  <c r="H112" i="4"/>
  <c r="I112" i="4"/>
  <c r="J112" i="4"/>
  <c r="K112" i="4"/>
  <c r="L112" i="4"/>
  <c r="H120" i="4"/>
  <c r="I120" i="4"/>
  <c r="J120" i="4"/>
  <c r="K120" i="4"/>
  <c r="L120" i="4"/>
  <c r="H132" i="4"/>
  <c r="I132" i="4"/>
  <c r="J132" i="4"/>
  <c r="K132" i="4"/>
  <c r="L132" i="4"/>
  <c r="H137" i="4"/>
  <c r="I137" i="4"/>
  <c r="J137" i="4"/>
  <c r="K137" i="4"/>
  <c r="L137" i="4"/>
  <c r="H143" i="4"/>
  <c r="I143" i="4"/>
  <c r="J143" i="4"/>
  <c r="K143" i="4"/>
  <c r="L143" i="4"/>
  <c r="H146" i="4"/>
  <c r="I146" i="4"/>
  <c r="J146" i="4"/>
  <c r="K146" i="4"/>
  <c r="L146" i="4"/>
  <c r="H147" i="4"/>
  <c r="I147" i="4"/>
  <c r="J147" i="4"/>
  <c r="K147" i="4"/>
  <c r="L147" i="4"/>
  <c r="H149" i="4"/>
  <c r="I149" i="4"/>
  <c r="J149" i="4"/>
  <c r="K149" i="4"/>
  <c r="L149" i="4"/>
  <c r="H155" i="4"/>
  <c r="I155" i="4"/>
  <c r="J155" i="4"/>
  <c r="K155" i="4"/>
  <c r="L155" i="4"/>
  <c r="H162" i="4"/>
  <c r="I162" i="4"/>
  <c r="J162" i="4"/>
  <c r="K162" i="4"/>
  <c r="L162" i="4"/>
  <c r="H173" i="4"/>
  <c r="I173" i="4"/>
  <c r="J173" i="4"/>
  <c r="K173" i="4"/>
  <c r="L173" i="4"/>
  <c r="I192" i="4"/>
  <c r="J192" i="4"/>
  <c r="K192" i="4"/>
  <c r="L192" i="4"/>
  <c r="H193" i="4"/>
  <c r="I193" i="4"/>
  <c r="J193" i="4"/>
  <c r="K193" i="4"/>
  <c r="L193" i="4"/>
  <c r="H196" i="4"/>
  <c r="I196" i="4"/>
  <c r="J196" i="4"/>
  <c r="K196" i="4"/>
  <c r="L196" i="4"/>
  <c r="I203" i="4"/>
  <c r="J203" i="4"/>
  <c r="K203" i="4"/>
  <c r="L203" i="4"/>
  <c r="H205" i="4"/>
  <c r="I205" i="4"/>
  <c r="J205" i="4"/>
  <c r="K205" i="4"/>
  <c r="L205" i="4"/>
  <c r="H206" i="4"/>
  <c r="I206" i="4"/>
  <c r="J206" i="4"/>
  <c r="K206" i="4"/>
  <c r="L206" i="4"/>
  <c r="I209" i="4"/>
  <c r="J209" i="4"/>
  <c r="K209" i="4"/>
  <c r="L209" i="4"/>
  <c r="H210" i="4"/>
  <c r="I210" i="4"/>
  <c r="J210" i="4"/>
  <c r="K210" i="4"/>
  <c r="L210" i="4"/>
  <c r="H212" i="4"/>
  <c r="I212" i="4"/>
  <c r="J212" i="4"/>
  <c r="K212" i="4"/>
  <c r="L212" i="4"/>
  <c r="H213" i="4"/>
  <c r="I213" i="4"/>
  <c r="J213" i="4"/>
  <c r="K213" i="4"/>
  <c r="L213" i="4"/>
  <c r="H219" i="4"/>
  <c r="I219" i="4"/>
  <c r="J219" i="4"/>
  <c r="K219" i="4"/>
  <c r="L219" i="4"/>
  <c r="H223" i="4"/>
  <c r="I223" i="4"/>
  <c r="J223" i="4"/>
  <c r="K223" i="4"/>
  <c r="L223" i="4"/>
  <c r="H224" i="4"/>
  <c r="I224" i="4"/>
  <c r="J224" i="4"/>
  <c r="K224" i="4"/>
  <c r="L224" i="4"/>
  <c r="H227" i="4"/>
  <c r="I227" i="4"/>
  <c r="J227" i="4"/>
  <c r="K227" i="4"/>
  <c r="L227" i="4"/>
  <c r="H229" i="4"/>
  <c r="I229" i="4"/>
  <c r="J229" i="4"/>
  <c r="K229" i="4"/>
  <c r="L229" i="4"/>
  <c r="H233" i="4"/>
  <c r="I233" i="4"/>
  <c r="J233" i="4"/>
  <c r="K233" i="4"/>
  <c r="L233" i="4"/>
  <c r="H243" i="4"/>
  <c r="I243" i="4"/>
  <c r="J243" i="4"/>
  <c r="K243" i="4"/>
  <c r="L243" i="4"/>
  <c r="H244" i="4"/>
  <c r="I244" i="4"/>
  <c r="J244" i="4"/>
  <c r="K244" i="4"/>
  <c r="L244" i="4"/>
  <c r="H246" i="4"/>
  <c r="I246" i="4"/>
  <c r="J246" i="4"/>
  <c r="K246" i="4"/>
  <c r="L246" i="4"/>
  <c r="F249" i="4"/>
  <c r="I249" i="4"/>
  <c r="J249" i="4"/>
  <c r="F250" i="4"/>
  <c r="I250" i="4"/>
  <c r="J250" i="4"/>
  <c r="F251" i="4"/>
  <c r="I251" i="4"/>
  <c r="J251" i="4"/>
  <c r="F252" i="4"/>
  <c r="I252" i="4"/>
  <c r="J252" i="4"/>
  <c r="K271" i="4"/>
  <c r="K272" i="4"/>
  <c r="L286" i="4"/>
  <c r="L287" i="4"/>
  <c r="L288" i="4"/>
  <c r="L289" i="4"/>
  <c r="C292" i="4"/>
  <c r="D292" i="4"/>
  <c r="L293" i="4"/>
  <c r="D295" i="4"/>
  <c r="D296" i="4"/>
  <c r="E300" i="4"/>
  <c r="H309" i="4"/>
  <c r="I309" i="4"/>
  <c r="J309" i="4"/>
  <c r="K309" i="4"/>
  <c r="L309" i="4"/>
  <c r="H312" i="4"/>
  <c r="I312" i="4"/>
  <c r="J312" i="4"/>
  <c r="K312" i="4"/>
  <c r="L312" i="4"/>
  <c r="G26" i="5"/>
  <c r="H26" i="5"/>
  <c r="I26" i="5"/>
  <c r="J26" i="5"/>
  <c r="K26" i="5"/>
  <c r="G27" i="5"/>
  <c r="H27" i="5"/>
  <c r="I27" i="5"/>
  <c r="J27" i="5"/>
  <c r="K27" i="5"/>
  <c r="G31" i="5"/>
  <c r="H31" i="5"/>
  <c r="I31" i="5"/>
  <c r="J31" i="5"/>
  <c r="K31" i="5"/>
  <c r="G32" i="5"/>
  <c r="H32" i="5"/>
  <c r="I32" i="5"/>
  <c r="J32" i="5"/>
  <c r="K32" i="5"/>
  <c r="G33" i="5"/>
  <c r="H33" i="5"/>
  <c r="I33" i="5"/>
  <c r="J33" i="5"/>
  <c r="K33" i="5"/>
  <c r="G62" i="5"/>
  <c r="H62" i="5"/>
  <c r="I62" i="5"/>
  <c r="J62" i="5"/>
  <c r="K62" i="5"/>
  <c r="G68" i="5"/>
  <c r="H68" i="5"/>
  <c r="I68" i="5"/>
  <c r="J68" i="5"/>
  <c r="K68" i="5"/>
  <c r="G76" i="5"/>
  <c r="H76" i="5"/>
  <c r="I76" i="5"/>
  <c r="J76" i="5"/>
  <c r="K76" i="5"/>
  <c r="G88" i="5"/>
  <c r="H88" i="5"/>
  <c r="I88" i="5"/>
  <c r="J88" i="5"/>
  <c r="K88" i="5"/>
  <c r="G93" i="5"/>
  <c r="H93" i="5"/>
  <c r="I93" i="5"/>
  <c r="J93" i="5"/>
  <c r="K93" i="5"/>
  <c r="G99" i="5"/>
  <c r="H99" i="5"/>
  <c r="I99" i="5"/>
  <c r="J99" i="5"/>
  <c r="K99" i="5"/>
  <c r="G102" i="5"/>
  <c r="H102" i="5"/>
  <c r="I102" i="5"/>
  <c r="J102" i="5"/>
  <c r="K102" i="5"/>
  <c r="G103" i="5"/>
  <c r="H103" i="5"/>
  <c r="I103" i="5"/>
  <c r="J103" i="5"/>
  <c r="K103" i="5"/>
  <c r="G105" i="5"/>
  <c r="H105" i="5"/>
  <c r="I105" i="5"/>
  <c r="J105" i="5"/>
  <c r="K105" i="5"/>
  <c r="G111" i="5"/>
  <c r="H111" i="5"/>
  <c r="I111" i="5"/>
  <c r="J111" i="5"/>
  <c r="K111" i="5"/>
  <c r="G118" i="5"/>
  <c r="H118" i="5"/>
  <c r="I118" i="5"/>
  <c r="J118" i="5"/>
  <c r="K118" i="5"/>
  <c r="G129" i="5"/>
  <c r="H129" i="5"/>
  <c r="I129" i="5"/>
  <c r="J129" i="5"/>
  <c r="K129" i="5"/>
  <c r="H148" i="5"/>
  <c r="I148" i="5"/>
  <c r="J148" i="5"/>
  <c r="K148" i="5"/>
  <c r="G149" i="5"/>
  <c r="H149" i="5"/>
  <c r="I149" i="5"/>
  <c r="J149" i="5"/>
  <c r="K149" i="5"/>
  <c r="G152" i="5"/>
  <c r="H152" i="5"/>
  <c r="I152" i="5"/>
  <c r="J152" i="5"/>
  <c r="K152" i="5"/>
  <c r="H159" i="5"/>
  <c r="I159" i="5"/>
  <c r="J159" i="5"/>
  <c r="K159" i="5"/>
  <c r="G161" i="5"/>
  <c r="H161" i="5"/>
  <c r="I161" i="5"/>
  <c r="J161" i="5"/>
  <c r="K161" i="5"/>
  <c r="G162" i="5"/>
  <c r="H162" i="5"/>
  <c r="I162" i="5"/>
  <c r="J162" i="5"/>
  <c r="K162" i="5"/>
  <c r="H165" i="5"/>
  <c r="I165" i="5"/>
  <c r="J165" i="5"/>
  <c r="K165" i="5"/>
  <c r="G166" i="5"/>
  <c r="H166" i="5"/>
  <c r="I166" i="5"/>
  <c r="J166" i="5"/>
  <c r="K166" i="5"/>
  <c r="G168" i="5"/>
  <c r="H168" i="5"/>
  <c r="I168" i="5"/>
  <c r="J168" i="5"/>
  <c r="K168" i="5"/>
  <c r="G169" i="5"/>
  <c r="H169" i="5"/>
  <c r="I169" i="5"/>
  <c r="J169" i="5"/>
  <c r="K169" i="5"/>
  <c r="G175" i="5"/>
  <c r="H175" i="5"/>
  <c r="I175" i="5"/>
  <c r="J175" i="5"/>
  <c r="K175" i="5"/>
  <c r="G179" i="5"/>
  <c r="H179" i="5"/>
  <c r="I179" i="5"/>
  <c r="J179" i="5"/>
  <c r="K179" i="5"/>
  <c r="G180" i="5"/>
  <c r="H180" i="5"/>
  <c r="I180" i="5"/>
  <c r="J180" i="5"/>
  <c r="K180" i="5"/>
  <c r="G183" i="5"/>
  <c r="H183" i="5"/>
  <c r="I183" i="5"/>
  <c r="J183" i="5"/>
  <c r="K183" i="5"/>
  <c r="G185" i="5"/>
  <c r="H185" i="5"/>
  <c r="I185" i="5"/>
  <c r="J185" i="5"/>
  <c r="K185" i="5"/>
  <c r="G189" i="5"/>
  <c r="H189" i="5"/>
  <c r="I189" i="5"/>
  <c r="J189" i="5"/>
  <c r="K189" i="5"/>
  <c r="G199" i="5"/>
  <c r="H199" i="5"/>
  <c r="I199" i="5"/>
  <c r="J199" i="5"/>
  <c r="K199" i="5"/>
  <c r="G200" i="5"/>
  <c r="H200" i="5"/>
  <c r="I200" i="5"/>
  <c r="J200" i="5"/>
  <c r="K200" i="5"/>
  <c r="G202" i="5"/>
  <c r="H202" i="5"/>
  <c r="I202" i="5"/>
  <c r="J202" i="5"/>
  <c r="K202" i="5"/>
  <c r="E205" i="5"/>
  <c r="H205" i="5"/>
  <c r="I205" i="5"/>
  <c r="E206" i="5"/>
  <c r="H206" i="5"/>
  <c r="I206" i="5"/>
  <c r="E207" i="5"/>
  <c r="H207" i="5"/>
  <c r="I207" i="5"/>
  <c r="E208" i="5"/>
  <c r="H208" i="5"/>
  <c r="I208" i="5"/>
  <c r="J216" i="5"/>
  <c r="J217" i="5"/>
  <c r="E219" i="5"/>
  <c r="J219" i="5"/>
  <c r="J220" i="5"/>
  <c r="E221" i="5"/>
  <c r="J222" i="5"/>
  <c r="D223" i="5"/>
  <c r="E223" i="5"/>
  <c r="E224" i="5"/>
  <c r="D226" i="5"/>
  <c r="E226" i="5"/>
  <c r="J226" i="5"/>
  <c r="J228" i="5"/>
  <c r="E229" i="5"/>
  <c r="E230" i="5"/>
  <c r="E233" i="5"/>
  <c r="G24" i="9"/>
  <c r="H24" i="9"/>
  <c r="I24" i="9"/>
  <c r="J24" i="9"/>
  <c r="K24" i="9"/>
  <c r="G25" i="9"/>
  <c r="H25" i="9"/>
  <c r="I25" i="9"/>
  <c r="J25" i="9"/>
  <c r="K25" i="9"/>
  <c r="G29" i="9"/>
  <c r="H29" i="9"/>
  <c r="I29" i="9"/>
  <c r="J29" i="9"/>
  <c r="K29" i="9"/>
  <c r="G30" i="9"/>
  <c r="H30" i="9"/>
  <c r="I30" i="9"/>
  <c r="J30" i="9"/>
  <c r="K30" i="9"/>
  <c r="G31" i="9"/>
  <c r="H31" i="9"/>
  <c r="I31" i="9"/>
  <c r="J31" i="9"/>
  <c r="K31" i="9"/>
  <c r="G49" i="9"/>
  <c r="H49" i="9"/>
  <c r="I49" i="9"/>
  <c r="J49" i="9"/>
  <c r="K49" i="9"/>
  <c r="G55" i="9"/>
  <c r="H55" i="9"/>
  <c r="I55" i="9"/>
  <c r="J55" i="9"/>
  <c r="K55" i="9"/>
  <c r="G63" i="9"/>
  <c r="H63" i="9"/>
  <c r="I63" i="9"/>
  <c r="J63" i="9"/>
  <c r="K63" i="9"/>
  <c r="G75" i="9"/>
  <c r="H75" i="9"/>
  <c r="I75" i="9"/>
  <c r="J75" i="9"/>
  <c r="K75" i="9"/>
  <c r="G80" i="9"/>
  <c r="H80" i="9"/>
  <c r="I80" i="9"/>
  <c r="J80" i="9"/>
  <c r="K80" i="9"/>
  <c r="G86" i="9"/>
  <c r="H86" i="9"/>
  <c r="I86" i="9"/>
  <c r="J86" i="9"/>
  <c r="K86" i="9"/>
  <c r="G89" i="9"/>
  <c r="H89" i="9"/>
  <c r="I89" i="9"/>
  <c r="J89" i="9"/>
  <c r="K89" i="9"/>
  <c r="G90" i="9"/>
  <c r="H90" i="9"/>
  <c r="I90" i="9"/>
  <c r="J90" i="9"/>
  <c r="K90" i="9"/>
  <c r="G92" i="9"/>
  <c r="H92" i="9"/>
  <c r="I92" i="9"/>
  <c r="J92" i="9"/>
  <c r="K92" i="9"/>
  <c r="G98" i="9"/>
  <c r="H98" i="9"/>
  <c r="I98" i="9"/>
  <c r="J98" i="9"/>
  <c r="K98" i="9"/>
  <c r="G105" i="9"/>
  <c r="H105" i="9"/>
  <c r="I105" i="9"/>
  <c r="J105" i="9"/>
  <c r="K105" i="9"/>
  <c r="G116" i="9"/>
  <c r="H116" i="9"/>
  <c r="I116" i="9"/>
  <c r="J116" i="9"/>
  <c r="K116" i="9"/>
  <c r="H135" i="9"/>
  <c r="I135" i="9"/>
  <c r="J135" i="9"/>
  <c r="K135" i="9"/>
  <c r="G136" i="9"/>
  <c r="H136" i="9"/>
  <c r="I136" i="9"/>
  <c r="J136" i="9"/>
  <c r="K136" i="9"/>
  <c r="G139" i="9"/>
  <c r="H139" i="9"/>
  <c r="I139" i="9"/>
  <c r="J139" i="9"/>
  <c r="K139" i="9"/>
  <c r="H146" i="9"/>
  <c r="I146" i="9"/>
  <c r="J146" i="9"/>
  <c r="K146" i="9"/>
  <c r="G148" i="9"/>
  <c r="H148" i="9"/>
  <c r="I148" i="9"/>
  <c r="J148" i="9"/>
  <c r="K148" i="9"/>
  <c r="G149" i="9"/>
  <c r="H149" i="9"/>
  <c r="I149" i="9"/>
  <c r="J149" i="9"/>
  <c r="K149" i="9"/>
  <c r="H152" i="9"/>
  <c r="I152" i="9"/>
  <c r="J152" i="9"/>
  <c r="K152" i="9"/>
  <c r="G153" i="9"/>
  <c r="H153" i="9"/>
  <c r="I153" i="9"/>
  <c r="J153" i="9"/>
  <c r="K153" i="9"/>
  <c r="G155" i="9"/>
  <c r="H155" i="9"/>
  <c r="I155" i="9"/>
  <c r="J155" i="9"/>
  <c r="K155" i="9"/>
  <c r="G156" i="9"/>
  <c r="H156" i="9"/>
  <c r="I156" i="9"/>
  <c r="J156" i="9"/>
  <c r="K156" i="9"/>
  <c r="G162" i="9"/>
  <c r="H162" i="9"/>
  <c r="I162" i="9"/>
  <c r="J162" i="9"/>
  <c r="K162" i="9"/>
  <c r="G166" i="9"/>
  <c r="H166" i="9"/>
  <c r="I166" i="9"/>
  <c r="J166" i="9"/>
  <c r="K166" i="9"/>
  <c r="G167" i="9"/>
  <c r="H167" i="9"/>
  <c r="I167" i="9"/>
  <c r="J167" i="9"/>
  <c r="K167" i="9"/>
  <c r="G170" i="9"/>
  <c r="H170" i="9"/>
  <c r="I170" i="9"/>
  <c r="J170" i="9"/>
  <c r="K170" i="9"/>
  <c r="G172" i="9"/>
  <c r="H172" i="9"/>
  <c r="I172" i="9"/>
  <c r="J172" i="9"/>
  <c r="K172" i="9"/>
  <c r="G176" i="9"/>
  <c r="H176" i="9"/>
  <c r="I176" i="9"/>
  <c r="J176" i="9"/>
  <c r="K176" i="9"/>
  <c r="G26" i="8"/>
  <c r="H26" i="8"/>
  <c r="I26" i="8"/>
  <c r="J26" i="8"/>
  <c r="K26" i="8"/>
  <c r="G27" i="8"/>
  <c r="H27" i="8"/>
  <c r="I27" i="8"/>
  <c r="J27" i="8"/>
  <c r="K27" i="8"/>
  <c r="G31" i="8"/>
  <c r="H31" i="8"/>
  <c r="I31" i="8"/>
  <c r="J31" i="8"/>
  <c r="K31" i="8"/>
  <c r="G32" i="8"/>
  <c r="H32" i="8"/>
  <c r="I32" i="8"/>
  <c r="J32" i="8"/>
  <c r="K32" i="8"/>
  <c r="G33" i="8"/>
  <c r="H33" i="8"/>
  <c r="I33" i="8"/>
  <c r="J33" i="8"/>
  <c r="K33" i="8"/>
  <c r="G53" i="8"/>
  <c r="H53" i="8"/>
  <c r="I53" i="8"/>
  <c r="J53" i="8"/>
  <c r="K53" i="8"/>
  <c r="G59" i="8"/>
  <c r="H59" i="8"/>
  <c r="I59" i="8"/>
  <c r="J59" i="8"/>
  <c r="K59" i="8"/>
  <c r="G67" i="8"/>
  <c r="H67" i="8"/>
  <c r="I67" i="8"/>
  <c r="J67" i="8"/>
  <c r="K67" i="8"/>
  <c r="G79" i="8"/>
  <c r="H79" i="8"/>
  <c r="I79" i="8"/>
  <c r="J79" i="8"/>
  <c r="K79" i="8"/>
  <c r="G84" i="8"/>
  <c r="H84" i="8"/>
  <c r="I84" i="8"/>
  <c r="J84" i="8"/>
  <c r="K84" i="8"/>
  <c r="G90" i="8"/>
  <c r="H90" i="8"/>
  <c r="I90" i="8"/>
  <c r="J90" i="8"/>
  <c r="K90" i="8"/>
  <c r="G93" i="8"/>
  <c r="H93" i="8"/>
  <c r="I93" i="8"/>
  <c r="J93" i="8"/>
  <c r="K93" i="8"/>
  <c r="G94" i="8"/>
  <c r="H94" i="8"/>
  <c r="I94" i="8"/>
  <c r="J94" i="8"/>
  <c r="K94" i="8"/>
  <c r="G96" i="8"/>
  <c r="H96" i="8"/>
  <c r="I96" i="8"/>
  <c r="J96" i="8"/>
  <c r="K96" i="8"/>
  <c r="G102" i="8"/>
  <c r="H102" i="8"/>
  <c r="I102" i="8"/>
  <c r="J102" i="8"/>
  <c r="K102" i="8"/>
  <c r="G109" i="8"/>
  <c r="H109" i="8"/>
  <c r="I109" i="8"/>
  <c r="J109" i="8"/>
  <c r="K109" i="8"/>
  <c r="G120" i="8"/>
  <c r="H120" i="8"/>
  <c r="I120" i="8"/>
  <c r="J120" i="8"/>
  <c r="K120" i="8"/>
  <c r="H139" i="8"/>
  <c r="I139" i="8"/>
  <c r="J139" i="8"/>
  <c r="K139" i="8"/>
  <c r="G140" i="8"/>
  <c r="H140" i="8"/>
  <c r="I140" i="8"/>
  <c r="J140" i="8"/>
  <c r="K140" i="8"/>
  <c r="G143" i="8"/>
  <c r="H143" i="8"/>
  <c r="I143" i="8"/>
  <c r="J143" i="8"/>
  <c r="K143" i="8"/>
  <c r="H150" i="8"/>
  <c r="I150" i="8"/>
  <c r="J150" i="8"/>
  <c r="K150" i="8"/>
  <c r="G152" i="8"/>
  <c r="H152" i="8"/>
  <c r="I152" i="8"/>
  <c r="J152" i="8"/>
  <c r="K152" i="8"/>
  <c r="G153" i="8"/>
  <c r="H153" i="8"/>
  <c r="I153" i="8"/>
  <c r="J153" i="8"/>
  <c r="K153" i="8"/>
  <c r="H156" i="8"/>
  <c r="I156" i="8"/>
  <c r="J156" i="8"/>
  <c r="K156" i="8"/>
  <c r="G157" i="8"/>
  <c r="H157" i="8"/>
  <c r="I157" i="8"/>
  <c r="J157" i="8"/>
  <c r="K157" i="8"/>
  <c r="G159" i="8"/>
  <c r="H159" i="8"/>
  <c r="I159" i="8"/>
  <c r="J159" i="8"/>
  <c r="K159" i="8"/>
  <c r="G160" i="8"/>
  <c r="H160" i="8"/>
  <c r="I160" i="8"/>
  <c r="J160" i="8"/>
  <c r="K160" i="8"/>
  <c r="G166" i="8"/>
  <c r="H166" i="8"/>
  <c r="I166" i="8"/>
  <c r="J166" i="8"/>
  <c r="K166" i="8"/>
  <c r="G170" i="8"/>
  <c r="H170" i="8"/>
  <c r="I170" i="8"/>
  <c r="J170" i="8"/>
  <c r="K170" i="8"/>
  <c r="G171" i="8"/>
  <c r="H171" i="8"/>
  <c r="I171" i="8"/>
  <c r="J171" i="8"/>
  <c r="K171" i="8"/>
  <c r="G174" i="8"/>
  <c r="H174" i="8"/>
  <c r="I174" i="8"/>
  <c r="J174" i="8"/>
  <c r="K174" i="8"/>
  <c r="G176" i="8"/>
  <c r="H176" i="8"/>
  <c r="I176" i="8"/>
  <c r="J176" i="8"/>
  <c r="K176" i="8"/>
  <c r="G180" i="8"/>
  <c r="H180" i="8"/>
  <c r="I180" i="8"/>
  <c r="J180" i="8"/>
  <c r="K180" i="8"/>
  <c r="G26" i="7"/>
  <c r="H26" i="7"/>
  <c r="I26" i="7"/>
  <c r="J26" i="7"/>
  <c r="K26" i="7"/>
  <c r="G27" i="7"/>
  <c r="H27" i="7"/>
  <c r="I27" i="7"/>
  <c r="J27" i="7"/>
  <c r="K27" i="7"/>
  <c r="G31" i="7"/>
  <c r="H31" i="7"/>
  <c r="I31" i="7"/>
  <c r="J31" i="7"/>
  <c r="K31" i="7"/>
  <c r="G32" i="7"/>
  <c r="H32" i="7"/>
  <c r="I32" i="7"/>
  <c r="J32" i="7"/>
  <c r="K32" i="7"/>
  <c r="G33" i="7"/>
  <c r="H33" i="7"/>
  <c r="I33" i="7"/>
  <c r="J33" i="7"/>
  <c r="K33" i="7"/>
  <c r="G53" i="7"/>
  <c r="H53" i="7"/>
  <c r="I53" i="7"/>
  <c r="J53" i="7"/>
  <c r="K53" i="7"/>
  <c r="G59" i="7"/>
  <c r="H59" i="7"/>
  <c r="I59" i="7"/>
  <c r="J59" i="7"/>
  <c r="K59" i="7"/>
  <c r="G67" i="7"/>
  <c r="H67" i="7"/>
  <c r="I67" i="7"/>
  <c r="J67" i="7"/>
  <c r="K67" i="7"/>
  <c r="G79" i="7"/>
  <c r="H79" i="7"/>
  <c r="I79" i="7"/>
  <c r="J79" i="7"/>
  <c r="K79" i="7"/>
  <c r="G84" i="7"/>
  <c r="H84" i="7"/>
  <c r="I84" i="7"/>
  <c r="J84" i="7"/>
  <c r="K84" i="7"/>
  <c r="G90" i="7"/>
  <c r="H90" i="7"/>
  <c r="I90" i="7"/>
  <c r="J90" i="7"/>
  <c r="K90" i="7"/>
  <c r="G93" i="7"/>
  <c r="H93" i="7"/>
  <c r="I93" i="7"/>
  <c r="J93" i="7"/>
  <c r="K93" i="7"/>
  <c r="G94" i="7"/>
  <c r="H94" i="7"/>
  <c r="I94" i="7"/>
  <c r="J94" i="7"/>
  <c r="K94" i="7"/>
  <c r="G96" i="7"/>
  <c r="H96" i="7"/>
  <c r="I96" i="7"/>
  <c r="J96" i="7"/>
  <c r="K96" i="7"/>
  <c r="G102" i="7"/>
  <c r="H102" i="7"/>
  <c r="I102" i="7"/>
  <c r="J102" i="7"/>
  <c r="K102" i="7"/>
  <c r="G109" i="7"/>
  <c r="H109" i="7"/>
  <c r="I109" i="7"/>
  <c r="J109" i="7"/>
  <c r="K109" i="7"/>
  <c r="G120" i="7"/>
  <c r="H120" i="7"/>
  <c r="I120" i="7"/>
  <c r="J120" i="7"/>
  <c r="K120" i="7"/>
  <c r="H139" i="7"/>
  <c r="I139" i="7"/>
  <c r="J139" i="7"/>
  <c r="K139" i="7"/>
  <c r="G140" i="7"/>
  <c r="H140" i="7"/>
  <c r="I140" i="7"/>
  <c r="J140" i="7"/>
  <c r="K140" i="7"/>
  <c r="G143" i="7"/>
  <c r="H143" i="7"/>
  <c r="I143" i="7"/>
  <c r="J143" i="7"/>
  <c r="K143" i="7"/>
  <c r="H150" i="7"/>
  <c r="I150" i="7"/>
  <c r="J150" i="7"/>
  <c r="K150" i="7"/>
  <c r="G152" i="7"/>
  <c r="H152" i="7"/>
  <c r="I152" i="7"/>
  <c r="J152" i="7"/>
  <c r="K152" i="7"/>
  <c r="G153" i="7"/>
  <c r="H153" i="7"/>
  <c r="I153" i="7"/>
  <c r="J153" i="7"/>
  <c r="K153" i="7"/>
  <c r="H156" i="7"/>
  <c r="I156" i="7"/>
  <c r="J156" i="7"/>
  <c r="K156" i="7"/>
  <c r="G157" i="7"/>
  <c r="H157" i="7"/>
  <c r="I157" i="7"/>
  <c r="J157" i="7"/>
  <c r="K157" i="7"/>
  <c r="G159" i="7"/>
  <c r="H159" i="7"/>
  <c r="I159" i="7"/>
  <c r="J159" i="7"/>
  <c r="K159" i="7"/>
  <c r="G160" i="7"/>
  <c r="H160" i="7"/>
  <c r="I160" i="7"/>
  <c r="J160" i="7"/>
  <c r="K160" i="7"/>
  <c r="G166" i="7"/>
  <c r="H166" i="7"/>
  <c r="I166" i="7"/>
  <c r="J166" i="7"/>
  <c r="K166" i="7"/>
  <c r="G170" i="7"/>
  <c r="H170" i="7"/>
  <c r="I170" i="7"/>
  <c r="J170" i="7"/>
  <c r="K170" i="7"/>
  <c r="G171" i="7"/>
  <c r="H171" i="7"/>
  <c r="I171" i="7"/>
  <c r="J171" i="7"/>
  <c r="K171" i="7"/>
  <c r="G174" i="7"/>
  <c r="H174" i="7"/>
  <c r="I174" i="7"/>
  <c r="J174" i="7"/>
  <c r="K174" i="7"/>
  <c r="G176" i="7"/>
  <c r="H176" i="7"/>
  <c r="I176" i="7"/>
  <c r="J176" i="7"/>
  <c r="K176" i="7"/>
  <c r="G180" i="7"/>
  <c r="H180" i="7"/>
  <c r="I180" i="7"/>
  <c r="J180" i="7"/>
  <c r="K18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94" authorId="0" shapeId="0" xr:uid="{00000000-0006-0000-0300-000001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  <comment ref="C195" authorId="0" shapeId="0" xr:uid="{00000000-0006-0000-0300-000002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50" authorId="0" shapeId="0" xr:uid="{00000000-0006-0000-0400-000001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  <comment ref="C151" authorId="0" shapeId="0" xr:uid="{00000000-0006-0000-0400-000002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41" authorId="0" shapeId="0" xr:uid="{00000000-0006-0000-0500-000001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  <comment ref="C142" authorId="0" shapeId="0" xr:uid="{00000000-0006-0000-0500-000002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41" authorId="0" shapeId="0" xr:uid="{00000000-0006-0000-0600-000001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  <comment ref="C142" authorId="0" shapeId="0" xr:uid="{00000000-0006-0000-0600-000002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41" authorId="0" shapeId="0" xr:uid="{00000000-0006-0000-0700-000001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  <comment ref="C142" authorId="0" shapeId="0" xr:uid="{00000000-0006-0000-0700-000002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37" authorId="0" shapeId="0" xr:uid="{00000000-0006-0000-0800-000001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  <comment ref="C138" authorId="0" shapeId="0" xr:uid="{00000000-0006-0000-0800-000002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37" authorId="0" shapeId="0" xr:uid="{00000000-0006-0000-0900-000001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  <comment ref="C138" authorId="0" shapeId="0" xr:uid="{00000000-0006-0000-0900-000002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43" authorId="0" shapeId="0" xr:uid="{00000000-0006-0000-0A00-000001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  <comment ref="C144" authorId="0" shapeId="0" xr:uid="{00000000-0006-0000-0A00-000002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  <comment ref="E171" authorId="0" shapeId="0" xr:uid="{00000000-0006-0000-0A00-000006000000}">
      <text>
        <r>
          <rPr>
            <sz val="10"/>
            <rFont val="Arial"/>
            <family val="2"/>
          </rPr>
          <t>2018 Note 5 - Debt. 10K p55</t>
        </r>
      </text>
    </comment>
    <comment ref="F171" authorId="0" shapeId="0" xr:uid="{00000000-0006-0000-0A00-000008000000}">
      <text>
        <r>
          <rPr>
            <sz val="10"/>
            <rFont val="Arial"/>
            <family val="2"/>
          </rPr>
          <t>2018 Note 5 - Debt. 10K p55</t>
        </r>
      </text>
    </comment>
    <comment ref="C177" authorId="0" shapeId="0" xr:uid="{00000000-0006-0000-0A00-000003000000}">
      <text>
        <r>
          <rPr>
            <sz val="10"/>
            <rFont val="Arial"/>
            <family val="2"/>
          </rPr>
          <t xml:space="preserve">We estimate the historical interest rate (though not explicitly disclosed by Apple). </t>
        </r>
      </text>
    </comment>
    <comment ref="C178" authorId="0" shapeId="0" xr:uid="{00000000-0006-0000-0A00-000004000000}">
      <text>
        <r>
          <rPr>
            <sz val="10"/>
            <rFont val="Arial"/>
            <family val="2"/>
          </rPr>
          <t>Although Apple doesn't disclose interest expense specifically, it does disclose the interest rate on commercial paper which enables us to back into interest expense for LTD</t>
        </r>
      </text>
    </comment>
    <comment ref="D181" authorId="0" shapeId="0" xr:uid="{00000000-0006-0000-0A00-000005000000}">
      <text>
        <r>
          <rPr>
            <sz val="10"/>
            <rFont val="Arial"/>
            <family val="2"/>
          </rPr>
          <t>2018 p.27 in the 'Other Income/(Expense), Net' section.</t>
        </r>
      </text>
    </comment>
    <comment ref="E181" authorId="0" shapeId="0" xr:uid="{00000000-0006-0000-0A00-000007000000}">
      <text>
        <r>
          <rPr>
            <sz val="10"/>
            <rFont val="Arial"/>
            <family val="2"/>
          </rPr>
          <t>2018 p.27 in the 'Other Income/(Expense), Net' section.</t>
        </r>
      </text>
    </comment>
    <comment ref="F181" authorId="0" shapeId="0" xr:uid="{00000000-0006-0000-0A00-000009000000}">
      <text>
        <r>
          <rPr>
            <sz val="10"/>
            <rFont val="Arial"/>
            <family val="2"/>
          </rPr>
          <t>2018 p.27 in the 'Other Income/(Expense), Net' section.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37" authorId="0" shapeId="0" xr:uid="{00000000-0006-0000-0B00-000001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  <comment ref="C138" authorId="0" shapeId="0" xr:uid="{00000000-0006-0000-0B00-000002000000}">
      <text>
        <r>
          <rPr>
            <sz val="10"/>
            <rFont val="Arial"/>
            <family val="2"/>
          </rPr>
          <t>Statement of shareholders equity schedule, p.41 Apple 2018 10K</t>
        </r>
      </text>
    </comment>
  </commentList>
</comments>
</file>

<file path=xl/sharedStrings.xml><?xml version="1.0" encoding="utf-8"?>
<sst xmlns="http://schemas.openxmlformats.org/spreadsheetml/2006/main" count="2210" uniqueCount="422">
  <si>
    <t>X</t>
  </si>
  <si>
    <t>$ in thousands except per share</t>
  </si>
  <si>
    <t>Comments</t>
  </si>
  <si>
    <t>Company name</t>
  </si>
  <si>
    <t>StandardAero</t>
  </si>
  <si>
    <t>Ticker</t>
  </si>
  <si>
    <t>SARO</t>
  </si>
  <si>
    <t>Latest closing share price</t>
  </si>
  <si>
    <t>Latest closing share price date</t>
  </si>
  <si>
    <t>Latest fiscal year end date</t>
  </si>
  <si>
    <t>Shares outstanding (millions)</t>
  </si>
  <si>
    <t>Outstanding at Dec 31, 2025 per 10-K BS. Jan 2026 repurchase of 1,637k shares (subsequent event) reduces to 332,657k.</t>
  </si>
  <si>
    <t>Case</t>
  </si>
  <si>
    <t>Description</t>
  </si>
  <si>
    <t>Source</t>
  </si>
  <si>
    <t>[Case 1]</t>
  </si>
  <si>
    <t>Management Case</t>
  </si>
  <si>
    <t>[Case 2]</t>
  </si>
  <si>
    <t>Investment Case</t>
  </si>
  <si>
    <t>[Case 3]</t>
  </si>
  <si>
    <t>Downside Projection</t>
  </si>
  <si>
    <t>Growth rates &amp; margins</t>
  </si>
  <si>
    <t xml:space="preserve">Fiscal year  </t>
  </si>
  <si>
    <t>Fiscal year end date</t>
  </si>
  <si>
    <t>Revenue growth</t>
  </si>
  <si>
    <t>LEAP/CFM56 shop visits ramping; ~80% of revenue under long-term agreements; aging installed base drives MRO demand through 2030; military spending elevated due to geopolitical tensions; business aviation fleet growth</t>
  </si>
  <si>
    <t>Engine Service growth rate</t>
  </si>
  <si>
    <t>Haircut by 2–3pts Because supply chain parts availability risk and LEAP ramp execution uncertainty are flagged as key risks in the 10-K Item 1A.</t>
  </si>
  <si>
    <t>LEAP ramp delay costs 3pts in Year 1–2. By Year 4 gap narrows as backlog eventually clears.</t>
  </si>
  <si>
    <t>Component Repair Service growth rate</t>
  </si>
  <si>
    <t>Component Repair has been the faster-growing segment (19.6% growth in 2025) driven by Aero Turbine and military demand. But 28.6% Adj EBITDA margins can't expand forever, and the military helicopter market is cyclical. </t>
  </si>
  <si>
    <t>Phoenix fire + gov shutdown persists through H2 2026. Military budget pressure from potential defense cuts limits recovery.</t>
  </si>
  <si>
    <t>Gross profit margin</t>
  </si>
  <si>
    <t>LEAP learning curve progressively reduces industrialization costs; mix shift toward higher-margin Component Repair Services; operating leverage on fixed overhead as volumes scale; partially offset by material cost inflation pass-through</t>
  </si>
  <si>
    <t>Materials are 71.5% of COGS, and tariff risk remains live even after the IEEPA ruling was struck down. LEAP industrialization savings are real but partially offset by inflationary labor pressures. The 10-K explicitly says "timing delays may impact margins" on tariff pass-throughs.</t>
  </si>
  <si>
    <t xml:space="preserve">50bps GP compression from OEM inflation. </t>
  </si>
  <si>
    <t>SG&amp;A % of sales</t>
  </si>
  <si>
    <t>SG&amp;A already declined to 4.1% in 2025 (from 4.9% in 2024). Post-IPO one-time costs are behind the company. Further leverage expected as revenue scales against relatively fixed corporate overhead and sales force</t>
  </si>
  <si>
    <t>The 10-K notes material weaknesses in internal controls requiring additional personnel and compliance investment. Remediation costs will partially offset the operating leverage from revenue growth.</t>
  </si>
  <si>
    <t>20bps SG&amp;A increase from material weakness remediation costs (10-K disclosed).</t>
  </si>
  <si>
    <t>Tax rate</t>
  </si>
  <si>
    <t>2025 effective rate of 26.4% includes GILTI, state taxes (California heavy), and changes in uncertain tax benefits. OBBBA provisions (signed Jul 4, 2025) restore favorable business tax treatment in 2026–2027  rate likely drifts toward 24–26% as Canada/foreign mix optimizes and interest carryforwards begin to release</t>
  </si>
  <si>
    <t>The OBBBA provisions are recent and their permanence is uncertain</t>
  </si>
  <si>
    <t>Adjusted EBITDA Margin</t>
  </si>
  <si>
    <t>Business transformation costs ($26M in 2025) won't go to zero as the company is still ramping LEAP and may need ongoing industrialization investment.</t>
  </si>
  <si>
    <t>Combination of GP compression, SG&amp;A stickiness, and LEAP dilution. Note Case 3 margin is below 2025A (13.3%) in Year 1 — that is the LEAP ramp cost made explicit.</t>
  </si>
  <si>
    <t>Acquisitions net of Cash</t>
  </si>
  <si>
    <t>We assume the company acquires but at a lower cadence since integration capacity is constrained (the 10-K discloses $5.6M of integration costs still flowing through in 2025)</t>
  </si>
  <si>
    <t>Lower FCF means no M&amp;A capacity. </t>
  </si>
  <si>
    <t>Share Repurchases</t>
  </si>
  <si>
    <t>The New Credit Agreement also has restricted payment covenants that may limit buyback pace at higher leverage.</t>
  </si>
  <si>
    <t>y</t>
  </si>
  <si>
    <t>Voluntary Debt Prepayment</t>
  </si>
  <si>
    <t>We assume slightly less prepayment since lower revenue growth means lower FCF. But deleveraging is still a priority</t>
  </si>
  <si>
    <t>M&amp;A Per Year</t>
  </si>
  <si>
    <t>Multiple x Revenue</t>
  </si>
  <si>
    <t>Revenue Acquired</t>
  </si>
  <si>
    <t>EBITDA Multiple</t>
  </si>
  <si>
    <t>EBITDA Acquired</t>
  </si>
  <si>
    <t>Synergized Multiple</t>
  </si>
  <si>
    <t>Synergized EBITDA</t>
  </si>
  <si>
    <t>INCOME STATEMENT</t>
  </si>
  <si>
    <t>Revenue from Engine Repair</t>
  </si>
  <si>
    <t>Revenue from Component Repair</t>
  </si>
  <si>
    <t>Revenue from M&amp;A</t>
  </si>
  <si>
    <t>Total Revenue</t>
  </si>
  <si>
    <t>Cost of sales</t>
  </si>
  <si>
    <t>Gross Profit</t>
  </si>
  <si>
    <t>Amortisation of intangible assets</t>
  </si>
  <si>
    <t>Formula: Total Amortization from intangible Assets acc to note 9× 75% to excludes OEM auth amort which goes through COGS per Note 9.</t>
  </si>
  <si>
    <t xml:space="preserve">Selling, general &amp; administrative </t>
  </si>
  <si>
    <t>Acquisition Cost</t>
  </si>
  <si>
    <t>Operating profit (EBIT)</t>
  </si>
  <si>
    <t>Interest income</t>
  </si>
  <si>
    <t xml:space="preserve">Interest expense </t>
  </si>
  <si>
    <t>Amotisation of Financing fees</t>
  </si>
  <si>
    <t>Refinancing costs</t>
  </si>
  <si>
    <t>Loss on debt extinguishment</t>
  </si>
  <si>
    <t xml:space="preserve">Other expense, net </t>
  </si>
  <si>
    <t>Pretax profit</t>
  </si>
  <si>
    <t>Taxes</t>
  </si>
  <si>
    <t>Net income</t>
  </si>
  <si>
    <t>Depreciation &amp; amortization</t>
  </si>
  <si>
    <t>EBITDA</t>
  </si>
  <si>
    <t>% of Revenue</t>
  </si>
  <si>
    <t>Stock based compensation</t>
  </si>
  <si>
    <t>-</t>
  </si>
  <si>
    <t>Business transformation costs</t>
  </si>
  <si>
    <t>IPO related cost</t>
  </si>
  <si>
    <t>Integration costs and severance</t>
  </si>
  <si>
    <t>Acquisition costs</t>
  </si>
  <si>
    <t>Insurance recovery</t>
  </si>
  <si>
    <t>Loss on disposals</t>
  </si>
  <si>
    <t>Secondary offering costs</t>
  </si>
  <si>
    <t>Other</t>
  </si>
  <si>
    <t>Adj EBITDA</t>
  </si>
  <si>
    <t>Formula: EBITDA*Adj. EBITDA margin + M&amp;A acquired EBITDA - synergy cost/year</t>
  </si>
  <si>
    <t>BALANCE SHEET</t>
  </si>
  <si>
    <t>Pro forma 2025A</t>
  </si>
  <si>
    <t>ASSETS</t>
  </si>
  <si>
    <t>Current Assets</t>
  </si>
  <si>
    <t>Cash &amp; equivalents, ST and LT marketable securities</t>
  </si>
  <si>
    <t>Accounts receivable</t>
  </si>
  <si>
    <t>Contract Assets</t>
  </si>
  <si>
    <t>Inventories</t>
  </si>
  <si>
    <t>Other current assets</t>
  </si>
  <si>
    <t xml:space="preserve">Income tax receivable </t>
  </si>
  <si>
    <t>Total current assets</t>
  </si>
  <si>
    <t>Property, plant &amp; equipment</t>
  </si>
  <si>
    <t>Operating lease right of use asset</t>
  </si>
  <si>
    <t>Customer relationships</t>
  </si>
  <si>
    <t>Formula: Prior year − amort (Note 9 × 64.2% CR share) + new CRs from M&amp;A (Row 110 × 40% allocation).</t>
  </si>
  <si>
    <t>Other intangible assets</t>
  </si>
  <si>
    <t>Formula: Prior year − amort (Note 9 × 35.8% Other share) + OEM license purchases (Row 113)</t>
  </si>
  <si>
    <t>Goodwill</t>
  </si>
  <si>
    <t>Formula: Prior year + M&amp;A goodwill (Row 110 × 60% allocation) + transaction fees. Per Aero Turbine: ~60% of purchase price allocated to goodwill, ~40% to customer relationships.</t>
  </si>
  <si>
    <t>Deferred income tax assets</t>
  </si>
  <si>
    <t>Other non current assets</t>
  </si>
  <si>
    <t>Total assets</t>
  </si>
  <si>
    <t>LIABILITIES AND STOCKHOLDERS' EQUITY</t>
  </si>
  <si>
    <t>Current Liabilities</t>
  </si>
  <si>
    <t>Accounts payable</t>
  </si>
  <si>
    <t>Accrued expenses and other current liabilities</t>
  </si>
  <si>
    <t>Accrued employ costs</t>
  </si>
  <si>
    <t>Operating lease liabilities, current</t>
  </si>
  <si>
    <t>Due to related parties</t>
  </si>
  <si>
    <t>Contract liabilities</t>
  </si>
  <si>
    <t>Income taxes payable, current</t>
  </si>
  <si>
    <t xml:space="preserve">Long-term debt, current portion </t>
  </si>
  <si>
    <t>r</t>
  </si>
  <si>
    <t>Total current liabilities</t>
  </si>
  <si>
    <t>Long term debt</t>
  </si>
  <si>
    <t>Financing fees</t>
  </si>
  <si>
    <t>Operating Lease Liabilities Non Current</t>
  </si>
  <si>
    <t>Deferred income tax liabilities</t>
  </si>
  <si>
    <t>Income tax payable, non-current</t>
  </si>
  <si>
    <t>Other non current liabilities</t>
  </si>
  <si>
    <t>Total liabilities</t>
  </si>
  <si>
    <t>Revolver</t>
  </si>
  <si>
    <t>Stockholders Equity:</t>
  </si>
  <si>
    <t>Common stock</t>
  </si>
  <si>
    <t>Preferred stock</t>
  </si>
  <si>
    <t>Additional paid-in capital</t>
  </si>
  <si>
    <t>Accumulated deficit</t>
  </si>
  <si>
    <t>Accumulated other comprehensive loss</t>
  </si>
  <si>
    <t>Treasury stock</t>
  </si>
  <si>
    <t>Total equity</t>
  </si>
  <si>
    <t>Total liabilities and stockholders' equity</t>
  </si>
  <si>
    <t>Balance check</t>
  </si>
  <si>
    <t>CASH FLOW STATEMENT</t>
  </si>
  <si>
    <t>Depreciation and amortization</t>
  </si>
  <si>
    <t>Amortization of financing fees</t>
  </si>
  <si>
    <t>Decreases / (Increases) in working capital assets</t>
  </si>
  <si>
    <t>Increases / (Decreases) in working capital liabilities</t>
  </si>
  <si>
    <t>Cash from operating activities</t>
  </si>
  <si>
    <t>Acquisitions, net of cash</t>
  </si>
  <si>
    <t>Normalized bolt-on M&amp;A based on Western Jet ($33M) and Aero Turbine ($132M) historical cadence; 10-K states company "continually acquiring and investing"</t>
  </si>
  <si>
    <t>Capital expenditures</t>
  </si>
  <si>
    <t>Cash from investing activities</t>
  </si>
  <si>
    <t>Intangible asset purchases</t>
  </si>
  <si>
    <t>OEM authorizations &amp; licenses: 3-yr avg of $27M (2023: $30.2M, 2024: $20.3M, 2025: $30.4M)</t>
  </si>
  <si>
    <t>Share repurchases</t>
  </si>
  <si>
    <t>Note 19 of 10K mentions $450M in available buybacks and we assumed the buybacks due to excess FCF</t>
  </si>
  <si>
    <t>Common dividends</t>
  </si>
  <si>
    <t>Cash from financing activities</t>
  </si>
  <si>
    <t>Voluntary debt prepayment</t>
  </si>
  <si>
    <t>Voluntary prepayment of term loans using excess FCF; no prepayment premium per New Credit Agreement</t>
  </si>
  <si>
    <t>Net change in cash during period</t>
  </si>
  <si>
    <t>PROPERTY, PLANT &amp; EQUIPMENT</t>
  </si>
  <si>
    <t>Forecast</t>
  </si>
  <si>
    <t>Beginning of period</t>
  </si>
  <si>
    <t>Plus: Capital expenditures</t>
  </si>
  <si>
    <t>Source: 10-K Item 7 MD&amp;A, "purchases of property, plant and equipment, rental engines" = $82.4M for FY2025. Projected as constant % of revenue (1.36%).</t>
  </si>
  <si>
    <t>Less: Depreciation from PPE</t>
  </si>
  <si>
    <t>Source: 10-K Note 8, "depreciation expense for all PP&amp;E was $62.4M" for FY2025. Projected using dep/capex ratio (Row 131).</t>
  </si>
  <si>
    <t>End of period</t>
  </si>
  <si>
    <t>D&amp;A related to PP&amp;E as a % of capex</t>
  </si>
  <si>
    <t>IMPUTING TOTAL DEPRECIATION &amp; AMORTIZATION</t>
  </si>
  <si>
    <t>D&amp;A not related to PP&amp;E</t>
  </si>
  <si>
    <t>Source: 10-K Note 9, "Estimated amortization expense for each of the five succeeding fiscal years." Total intangible amort (all categories: CR + OEM + Trademarks + Tech)</t>
  </si>
  <si>
    <t>as % of revenue</t>
  </si>
  <si>
    <t xml:space="preserve">Depreciation &amp; Amortization - Total </t>
  </si>
  <si>
    <t>RETAINED EARNINGS</t>
  </si>
  <si>
    <t>Plus: Net income</t>
  </si>
  <si>
    <t>Less: Dividends</t>
  </si>
  <si>
    <t>Less: Repurchases</t>
  </si>
  <si>
    <t>REVOLVER (MODEL PLUG)</t>
  </si>
  <si>
    <t>Revolver needs analysis</t>
  </si>
  <si>
    <t>Cash at beginning of period (BOP)</t>
  </si>
  <si>
    <t>Less: Minimum cash balance</t>
  </si>
  <si>
    <t>Plus: Current period cash flows except revolver</t>
  </si>
  <si>
    <t>Equals: Cash available (needed) to pay down (draw from) revolver</t>
  </si>
  <si>
    <t>Commercial paper / Revolver</t>
  </si>
  <si>
    <t>Draw / (paydown)</t>
  </si>
  <si>
    <t>Additional discretionary draw / (paydown)</t>
  </si>
  <si>
    <t>Debt balance:</t>
  </si>
  <si>
    <t>INTEREST EXPENSE AND INTEREST INCOME</t>
  </si>
  <si>
    <t xml:space="preserve">Total interest expense </t>
  </si>
  <si>
    <t>Commercial Paper / Revolver</t>
  </si>
  <si>
    <t>Weighted average interest rate</t>
  </si>
  <si>
    <t>End of period balance (from B/S)</t>
  </si>
  <si>
    <t>Interest expense</t>
  </si>
  <si>
    <t>Interest rate on cash</t>
  </si>
  <si>
    <t>Weighted average interest rate on cash</t>
  </si>
  <si>
    <t>FIXED CHARGE COVERAGE</t>
  </si>
  <si>
    <t>FCCR</t>
  </si>
  <si>
    <t>minimum threshold</t>
  </si>
  <si>
    <t>DCF</t>
  </si>
  <si>
    <t>Capex</t>
  </si>
  <si>
    <t>Change in WC</t>
  </si>
  <si>
    <t>Pre tax FCF</t>
  </si>
  <si>
    <t>FCF</t>
  </si>
  <si>
    <t>Exit multiple</t>
  </si>
  <si>
    <t>WACC</t>
  </si>
  <si>
    <t>PV of CF</t>
  </si>
  <si>
    <t>PV of Exit</t>
  </si>
  <si>
    <t>NPV</t>
  </si>
  <si>
    <t>Multiple of LTM EBITDA</t>
  </si>
  <si>
    <t>Debt Schedule</t>
  </si>
  <si>
    <t>Term Loan B</t>
  </si>
  <si>
    <t>Interest rate</t>
  </si>
  <si>
    <t>Beginning Balance</t>
  </si>
  <si>
    <t>Current portion</t>
  </si>
  <si>
    <t>Voluntary prepayment</t>
  </si>
  <si>
    <t>Ending Balance</t>
  </si>
  <si>
    <t>Average Balance</t>
  </si>
  <si>
    <t>Cash interest expense</t>
  </si>
  <si>
    <t>Subordinated Debt</t>
  </si>
  <si>
    <t>Draw</t>
  </si>
  <si>
    <t>Financing Fees Amortization</t>
  </si>
  <si>
    <t>Total Financing fees</t>
  </si>
  <si>
    <t>Annual Amortization (straight-line)</t>
  </si>
  <si>
    <t>Beginning Unamortized Balance</t>
  </si>
  <si>
    <t>Ending Unamortized Balance on B/S</t>
  </si>
  <si>
    <t>Debt Schedule summary</t>
  </si>
  <si>
    <t xml:space="preserve">Total debt </t>
  </si>
  <si>
    <t>Less: unamortized financing fees</t>
  </si>
  <si>
    <t>Net debt on B/S</t>
  </si>
  <si>
    <t>Total Interest Expense</t>
  </si>
  <si>
    <t>TLB cash interest</t>
  </si>
  <si>
    <t>Subordinated debt cash interest</t>
  </si>
  <si>
    <t>Total cash interest</t>
  </si>
  <si>
    <t>Non-cash: amortization of financing fees</t>
  </si>
  <si>
    <t>Total interest expense (P&amp;L, incl. non-cash)</t>
  </si>
  <si>
    <t>M&amp;A Profile</t>
  </si>
  <si>
    <t>EBITDA Margin (pre Acq.)</t>
  </si>
  <si>
    <t>EBITDA Growth Rate</t>
  </si>
  <si>
    <t>Assumption--Rev and EBITDA</t>
  </si>
  <si>
    <t>Synergy benefit</t>
  </si>
  <si>
    <t>of Rev</t>
  </si>
  <si>
    <t>Synergy timing</t>
  </si>
  <si>
    <t>18 months</t>
  </si>
  <si>
    <t>Synergy costs</t>
  </si>
  <si>
    <t>Benefit</t>
  </si>
  <si>
    <t>M&amp;A Revenue Impact by year</t>
  </si>
  <si>
    <t>Acq.</t>
  </si>
  <si>
    <t>Year</t>
  </si>
  <si>
    <t>Total Acquired Revenue</t>
  </si>
  <si>
    <t>M&amp;A EBITDA Impact by year</t>
  </si>
  <si>
    <t>Acq. EBITDA=10%*Acq. Rev + Synergy benefit</t>
  </si>
  <si>
    <t>Synergy benefit = (Acq. Rev*5%)/3 in 1st yr; = (Acq. Rev *5%)*2/3 in 2nd yr; = (Acq. Rev *5%) in 3rd yr and later</t>
  </si>
  <si>
    <t>Total Acquired EBITDA</t>
  </si>
  <si>
    <t>Acquired EBITDA Margin</t>
  </si>
  <si>
    <t>Synergy Cost/Year</t>
  </si>
  <si>
    <t>Formula: One-time cost per cohort = 1.0 × full annual synergy benefit (= 2 × half-year rev × 5%), incurred in year of acquisition</t>
  </si>
  <si>
    <t>WACC Calcualtion</t>
  </si>
  <si>
    <t>Cost Of Equity</t>
  </si>
  <si>
    <t>Using According to the expected IRR in Investment case</t>
  </si>
  <si>
    <t>Cost Of Debt</t>
  </si>
  <si>
    <t>Sources Debt Package Weighted Average</t>
  </si>
  <si>
    <t>After tax Cost of Debt</t>
  </si>
  <si>
    <t>Sources and Uses</t>
  </si>
  <si>
    <t>Purchase price</t>
  </si>
  <si>
    <t>Minimum Equity</t>
  </si>
  <si>
    <t xml:space="preserve">    Adjusted 2025 Cash EBITDA</t>
  </si>
  <si>
    <t>Available debt package at closing</t>
  </si>
  <si>
    <t xml:space="preserve">    Purchase Multiple</t>
  </si>
  <si>
    <t>Sources</t>
  </si>
  <si>
    <t xml:space="preserve">EBITDA turns </t>
  </si>
  <si>
    <t>Amount</t>
  </si>
  <si>
    <t xml:space="preserve">    TEV</t>
  </si>
  <si>
    <t>Bank Debt (Term Loan B)</t>
  </si>
  <si>
    <t>Total Debt to be refi</t>
  </si>
  <si>
    <t>Total Debt</t>
  </si>
  <si>
    <t>Unrestricted cash</t>
  </si>
  <si>
    <t>% Total Sources</t>
  </si>
  <si>
    <t>Cash</t>
  </si>
  <si>
    <t>Cash on balance sheet</t>
  </si>
  <si>
    <t xml:space="preserve">    Equity</t>
  </si>
  <si>
    <t>Sponsor Equity</t>
  </si>
  <si>
    <t>Total sources</t>
  </si>
  <si>
    <t>Uses</t>
  </si>
  <si>
    <t>Purchase of Equity</t>
  </si>
  <si>
    <t>Repayment of existing debt</t>
  </si>
  <si>
    <t>Fees (Financing and transaction)</t>
  </si>
  <si>
    <t>Total uses</t>
  </si>
  <si>
    <t>Fees</t>
  </si>
  <si>
    <t>Financing</t>
  </si>
  <si>
    <t>Funded</t>
  </si>
  <si>
    <t>EBITDA turns</t>
  </si>
  <si>
    <t>Fees rate</t>
  </si>
  <si>
    <t>Term</t>
  </si>
  <si>
    <t>Fee amount/year</t>
  </si>
  <si>
    <t>% of offer value</t>
  </si>
  <si>
    <t>Fee</t>
  </si>
  <si>
    <t>Trans. fees</t>
  </si>
  <si>
    <t>Equity % check</t>
  </si>
  <si>
    <t>IRR Calculation</t>
  </si>
  <si>
    <t>Sponsor Equity Invested</t>
  </si>
  <si>
    <t>Dividends Pay</t>
  </si>
  <si>
    <t>Sponsor Equity Value at exit</t>
  </si>
  <si>
    <t>Total equity Flows</t>
  </si>
  <si>
    <t>Management Option Pool</t>
  </si>
  <si>
    <t>Exit Value</t>
  </si>
  <si>
    <t>Net debt at exit</t>
  </si>
  <si>
    <t>Equity value</t>
  </si>
  <si>
    <t>Sponsor IRR</t>
  </si>
  <si>
    <t>Sponsor MOIC</t>
  </si>
  <si>
    <t>IRR SENSITIVITY: Entry Multiple vs Exit Multiple</t>
  </si>
  <si>
    <t>Exit Multiple</t>
  </si>
  <si>
    <t>Entry</t>
  </si>
  <si>
    <t>Mult.</t>
  </si>
  <si>
    <t>MOIC SENSITIVITY: Entry Multiple vs Exit Multiple</t>
  </si>
  <si>
    <t>DEBT TERM SHEET CONSTRAINTS (from PJT Term Sheets, Day 22)</t>
  </si>
  <si>
    <t>Facility</t>
  </si>
  <si>
    <t>Max Turns</t>
  </si>
  <si>
    <t>Interest Rate</t>
  </si>
  <si>
    <t>OID</t>
  </si>
  <si>
    <t>Tenor (yrs)</t>
  </si>
  <si>
    <t>Amortization</t>
  </si>
  <si>
    <t>Revolving Credit Facility</t>
  </si>
  <si>
    <t>S+175-225 bps; unfunded at close</t>
  </si>
  <si>
    <t>S+350 bps; 99.50 OID; 101 soft call 6mo</t>
  </si>
  <si>
    <t>Senior Notes / HY Bond</t>
  </si>
  <si>
    <t>8.75% fixed; non-callable 3yrs</t>
  </si>
  <si>
    <t>Maximum Total Leverage</t>
  </si>
  <si>
    <t>Formula: Prior year + M&amp;A goodwill (Row 110 × 60% allocation). Per Aero Turbine: ~60% of purchase price allocated to goodwill, ~40% to customer relationships.</t>
  </si>
  <si>
    <t>Commitments and contingencies</t>
  </si>
  <si>
    <t xml:space="preserve">    Adjusted 2026 Cash EBITDA</t>
  </si>
  <si>
    <t>Existing Debt (2025)</t>
  </si>
  <si>
    <t>Cash (2025)</t>
  </si>
  <si>
    <t>Allocable premium</t>
  </si>
  <si>
    <t>Equity Value of Purchase</t>
  </si>
  <si>
    <t>Less 2026 Book Value of Equity</t>
  </si>
  <si>
    <t>Allocable Premium</t>
  </si>
  <si>
    <t>TLB OID+fees(2.75%) + HY fees(1.25%) + Rev fees(0.50%) + $25M advisory/legal</t>
  </si>
  <si>
    <t>IRR CALCULATION</t>
  </si>
  <si>
    <t>Fiscal year</t>
  </si>
  <si>
    <t>2025</t>
  </si>
  <si>
    <t>2026E</t>
  </si>
  <si>
    <t>2027E</t>
  </si>
  <si>
    <t>2028E</t>
  </si>
  <si>
    <t>2029E</t>
  </si>
  <si>
    <t>2030E</t>
  </si>
  <si>
    <t>EXIT VALUE TO EQUITY</t>
  </si>
  <si>
    <t>2030 Adj EBITDA</t>
  </si>
  <si>
    <t>Enterprise Value at Exit</t>
  </si>
  <si>
    <t>Less: Net Debt at Exit</t>
  </si>
  <si>
    <t>Equity Value at Exit</t>
  </si>
  <si>
    <t>MIP dilution</t>
  </si>
  <si>
    <t>8.0%</t>
  </si>
  <si>
    <t>Fund Equity Value at Exit</t>
  </si>
  <si>
    <t>EQUITY CASH FLOWS</t>
  </si>
  <si>
    <t>Equity Flows</t>
  </si>
  <si>
    <t>MOIC</t>
  </si>
  <si>
    <t>IRR</t>
  </si>
  <si>
    <t>IRR SENSITIVITY</t>
  </si>
  <si>
    <t>NOTE: Use Excel Data Table (What-If Analysis) with row input = K256 (entry mult) and column input = F245 (exit mult) referencing cell E300</t>
  </si>
  <si>
    <t>Entry Mult.</t>
  </si>
  <si>
    <t>COVENANT CHECKS</t>
  </si>
  <si>
    <t>Fixed Charge Coverage Ratio</t>
  </si>
  <si>
    <t xml:space="preserve">  (EBITDA - CapEx) / (Interest + Amort + Taxes)</t>
  </si>
  <si>
    <t>Minimum required</t>
  </si>
  <si>
    <t>1.2x</t>
  </si>
  <si>
    <t>Net Leverage (Net Debt / EBITDA)</t>
  </si>
  <si>
    <t>Secured Debt Payoff Check (7yr)</t>
  </si>
  <si>
    <t>Per slide: "Secured debt should be able to be amortized over ~7 years"</t>
  </si>
  <si>
    <t xml:space="preserve"> </t>
  </si>
  <si>
    <t>Insureance recovery</t>
  </si>
  <si>
    <t>Adittional paid-in capital</t>
  </si>
  <si>
    <t>Total Debt and DLI</t>
  </si>
  <si>
    <t>Debt</t>
  </si>
  <si>
    <t>IS-line amort only (excl OEM auth amort in COGS). Total amort per Note 9 used for BS reduction in rows 62/63</t>
  </si>
  <si>
    <t>Goodwill from bolt-on M&amp;A: ~50% of purchase price per historical allocation</t>
  </si>
  <si>
    <t>IS-line amort only (excl OEM auth amort in COGS). Total amort per Note 9 used for BS reduction in rows 58/59.</t>
  </si>
  <si>
    <t>Adjusted EBITDA</t>
  </si>
  <si>
    <t>Revenue</t>
  </si>
  <si>
    <t>Note 19 of 10K mentions $450M in available buybacks and we assumed the buybacks due to excess cash</t>
  </si>
  <si>
    <t>2025 effective rate of 26.4% includes GILTI, state taxes (California heavy), and changes in uncertain tax benefits. OBBBA provisions (signed Jul 4, 2025) restore favorable business tax treatment in 2026–2027 — rate likely drifts toward 24–26% as Canada/foreign mix optimizes and interest carryforwards begin to release</t>
  </si>
  <si>
    <t>Given in 10k</t>
  </si>
  <si>
    <t>Reference from interest on cash schedule</t>
  </si>
  <si>
    <t>Reference from interest expense schedule</t>
  </si>
  <si>
    <t>Reference from the I/S</t>
  </si>
  <si>
    <t>Reference from schedule NOT the B/S: Only include 'Additions' (as outflow)</t>
  </si>
  <si>
    <t>Reference from PP&amp;E schedule</t>
  </si>
  <si>
    <t>Reference from B/S</t>
  </si>
  <si>
    <t>Reference from Retained Earnings schedule</t>
  </si>
  <si>
    <t xml:space="preserve">BOP = Previous year EOP </t>
  </si>
  <si>
    <t>Capex x 'D&amp;A related to PP&amp;E as a % of capex' ratio (below)</t>
  </si>
  <si>
    <t>BOP + Capex - Depreciation</t>
  </si>
  <si>
    <t>Straight line last historical % of revenue - WSP assumption</t>
  </si>
  <si>
    <t>D&amp;A from PP&amp;E + D&amp;A not from PP&amp;E</t>
  </si>
  <si>
    <t>OTHER NON-CURRENT ASSETS</t>
  </si>
  <si>
    <t>Less: D&amp;A not related to PP&amp;E</t>
  </si>
  <si>
    <t xml:space="preserve">Assume all D&amp;A not from PP&amp;E is in non-current assets </t>
  </si>
  <si>
    <t xml:space="preserve">Plus: Additions </t>
  </si>
  <si>
    <t>Because we already know the EOP balance, this is a plug: EOP - D&amp;A not from PP&amp;E - BOP</t>
  </si>
  <si>
    <t>Referenced from balance sheet</t>
  </si>
  <si>
    <t>Reference from income statement</t>
  </si>
  <si>
    <t>WSP assumption: Straight-line last historical year dividends</t>
  </si>
  <si>
    <t>WSP assumption: Straight-line last historical year repurchases</t>
  </si>
  <si>
    <t>BOP + net income - dividends - repurchases</t>
  </si>
  <si>
    <t>Reference prior period EOP from B/S</t>
  </si>
  <si>
    <t>WSP assumption</t>
  </si>
  <si>
    <t>CFO + CFI + CFF except revolver</t>
  </si>
  <si>
    <t xml:space="preserve">Cash (paydown) / additional borrowing from revolver/CP. Paydown not to exceed BOP balance. </t>
  </si>
  <si>
    <t>Interest expense from revolver/CP + interest expense from long term debt</t>
  </si>
  <si>
    <t>WSP assumption: Straight-line</t>
  </si>
  <si>
    <t>Reference from revolver / CP schedule above</t>
  </si>
  <si>
    <t>Interest rate x average of BOP &amp; EOP revolver balances (circularity)</t>
  </si>
  <si>
    <t>Interest rate x average of BOP &amp; EOP LTD balances</t>
  </si>
  <si>
    <t>Interest rate x average of BOP &amp; EOP B/S cash  (circularity)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</si>
</sst>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164" formatCode="_(\$* #,##0.00_);_(\$* \(#,##0.00\);_(\$* \-??_);_(@_)"/>
    <numFmt numFmtId="165" formatCode="m/d/yyyy"/>
    <numFmt numFmtId="166" formatCode="\$#,##0.00_);[Red]&quot;($&quot;#,##0.00\)"/>
    <numFmt numFmtId="167" formatCode="m/d/yy;@"/>
    <numFmt numFmtId="168" formatCode="#,##0_);\(#,##0\);\–_);General_)"/>
    <numFmt numFmtId="169" formatCode="0\A;[Red]0\A"/>
    <numFmt numFmtId="170" formatCode="0\P_);\(0&quot;P)&quot;"/>
    <numFmt numFmtId="171" formatCode="0.0%_);\(0.0%\);@_)"/>
    <numFmt numFmtId="172" formatCode="0.0%"/>
    <numFmt numFmtId="173" formatCode="0.0\x"/>
    <numFmt numFmtId="174" formatCode="0.0"/>
    <numFmt numFmtId="175" formatCode="_(#,##0_)_%;\(#,##0\)_%;_(\–_)_%;_(@_)_%"/>
    <numFmt numFmtId="176" formatCode="_(#,##0.0%_);\(#,##0.0%\);_(\–_)_%;_(@_)_%"/>
    <numFmt numFmtId="177" formatCode="0.00\x"/>
    <numFmt numFmtId="178" formatCode="General\E"/>
    <numFmt numFmtId="179" formatCode="_([$$-409]* #,##0.00_);_([$$-409]* \(#,##0.00\);_([$$-409]* \-??_);_(@_)"/>
    <numFmt numFmtId="180" formatCode="_([$$-409]* #,##0.0_);_([$$-409]* \(#,##0.0\);_([$$-409]* \-??_);_(@_)"/>
    <numFmt numFmtId="181" formatCode="_([$$-409]* #,##0_);_([$$-409]* \(#,##0\);_([$$-409]* \-??_);_(@_)"/>
    <numFmt numFmtId="182" formatCode="0&quot; P&quot;"/>
    <numFmt numFmtId="183" formatCode="0&quot; yr&quot;"/>
    <numFmt numFmtId="184" formatCode="_(\$* #,##0_);_(\$* \(#,##0\);_(\$* \-??_);_(@_)"/>
    <numFmt numFmtId="185" formatCode="#,##0.0_);\(#,##0.0\)"/>
    <numFmt numFmtId="186" formatCode="0&quot; yrs&quot;"/>
    <numFmt numFmtId="187" formatCode="0.000"/>
    <numFmt numFmtId="188" formatCode="0.00%_);\(0.00%\);@_)"/>
  </numFmts>
  <fonts count="65">
    <font>
      <sz val="12"/>
      <color theme="1"/>
      <name val="Aptos Narrow"/>
      <family val="2"/>
      <charset val="1"/>
    </font>
    <font>
      <sz val="10"/>
      <name val="Arial"/>
      <family val="2"/>
    </font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i/>
      <sz val="11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  <font>
      <sz val="12"/>
      <color rgb="FF0000FF"/>
      <name val="Aptos Narrow"/>
      <family val="2"/>
      <charset val="1"/>
    </font>
    <font>
      <b/>
      <sz val="10"/>
      <color rgb="FF000000"/>
      <name val="Segoe UI"/>
      <charset val="134"/>
    </font>
    <font>
      <sz val="10"/>
      <color rgb="FF000000"/>
      <name val="Segoe UI"/>
      <charset val="134"/>
    </font>
    <font>
      <sz val="12"/>
      <color theme="1"/>
      <name val="Aptos Narrow"/>
    </font>
    <font>
      <sz val="12"/>
      <color rgb="FF000000"/>
      <name val="Aptos Narrow"/>
    </font>
    <font>
      <b/>
      <sz val="12"/>
      <color rgb="FF0000FF"/>
      <name val="Aptos Narrow"/>
    </font>
    <font>
      <b/>
      <sz val="12"/>
      <color rgb="FF000000"/>
      <name val="Aptos Narrow"/>
    </font>
    <font>
      <sz val="12"/>
      <color rgb="FF0000FF"/>
      <name val="Aptos Narrow"/>
    </font>
    <font>
      <b/>
      <sz val="12"/>
      <color theme="1"/>
      <name val="Aptos Narrow"/>
    </font>
    <font>
      <u/>
      <sz val="11"/>
      <color theme="1"/>
      <name val="Aptos Narrow"/>
      <family val="2"/>
      <charset val="1"/>
    </font>
    <font>
      <i/>
      <sz val="11"/>
      <color theme="1"/>
      <name val="Aptos Narrow"/>
      <family val="2"/>
      <charset val="1"/>
    </font>
    <font>
      <sz val="11"/>
      <color theme="1"/>
      <name val="Aptos Narrow"/>
    </font>
    <font>
      <sz val="11"/>
      <color rgb="FF000000"/>
      <name val="Aptos Narrow"/>
    </font>
    <font>
      <sz val="11"/>
      <color rgb="FF0000FF"/>
      <name val="Aptos Narrow"/>
    </font>
    <font>
      <sz val="12"/>
      <color rgb="FF3D3D3A"/>
      <name val="Aptos Narrow"/>
    </font>
    <font>
      <sz val="11"/>
      <color rgb="FF000000"/>
      <name val="Aptos Narrow"/>
      <family val="2"/>
      <charset val="1"/>
    </font>
    <font>
      <sz val="11"/>
      <color rgb="FF0000FF"/>
      <name val="Aptos Narrow"/>
      <family val="2"/>
      <charset val="1"/>
    </font>
    <font>
      <sz val="11"/>
      <name val="Aptos Narrow"/>
      <family val="2"/>
      <charset val="1"/>
    </font>
    <font>
      <sz val="11"/>
      <color rgb="FF0432FF"/>
      <name val="Aptos Narrow"/>
      <family val="2"/>
      <charset val="1"/>
    </font>
    <font>
      <i/>
      <sz val="11"/>
      <color rgb="FF0000FF"/>
      <name val="Aptos Narrow"/>
      <family val="2"/>
      <charset val="1"/>
    </font>
    <font>
      <sz val="10"/>
      <color theme="1"/>
      <name val="Aptos Narrow"/>
    </font>
    <font>
      <sz val="10"/>
      <color rgb="FF000000"/>
      <name val="Aptos Narrow"/>
    </font>
    <font>
      <sz val="12"/>
      <name val="Aptos Narrow"/>
    </font>
    <font>
      <b/>
      <sz val="12"/>
      <name val="Aptos Narrow"/>
    </font>
    <font>
      <b/>
      <sz val="11"/>
      <color rgb="FF000000"/>
      <name val="Aptos Narrow"/>
      <family val="2"/>
      <charset val="1"/>
    </font>
    <font>
      <b/>
      <sz val="11"/>
      <color theme="1"/>
      <name val="Aptos Narrow"/>
    </font>
    <font>
      <b/>
      <sz val="12"/>
      <color rgb="FF000000"/>
      <name val="Aptos Narrow"/>
      <family val="2"/>
      <charset val="1"/>
    </font>
    <font>
      <sz val="12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2"/>
      <color rgb="FF000000"/>
      <name val="-webkit-standard"/>
      <charset val="1"/>
    </font>
    <font>
      <sz val="10"/>
      <color rgb="FF000000"/>
      <name val="Arial Unicode MS"/>
      <family val="2"/>
      <charset val="1"/>
    </font>
    <font>
      <sz val="9"/>
      <color rgb="FF008000"/>
      <name val="Aptos Narrow"/>
      <family val="2"/>
      <charset val="1"/>
    </font>
    <font>
      <sz val="8"/>
      <color rgb="FFFF0000"/>
      <name val="Aptos Narrow"/>
      <family val="2"/>
      <charset val="1"/>
    </font>
    <font>
      <b/>
      <u/>
      <sz val="11"/>
      <color theme="1"/>
      <name val="Aptos Narrow"/>
      <family val="2"/>
      <charset val="1"/>
    </font>
    <font>
      <sz val="12"/>
      <color rgb="FF0432FF"/>
      <name val="Aptos Narrow"/>
      <family val="2"/>
      <charset val="1"/>
    </font>
    <font>
      <b/>
      <sz val="11"/>
      <name val="Aptos Narrow"/>
    </font>
    <font>
      <b/>
      <sz val="12"/>
      <name val="Segoe UI"/>
      <charset val="134"/>
    </font>
    <font>
      <b/>
      <sz val="10"/>
      <name val="Segoe UI"/>
      <charset val="134"/>
    </font>
    <font>
      <sz val="12"/>
      <color rgb="FF0432FF"/>
      <name val="Aptos Narrow"/>
    </font>
    <font>
      <i/>
      <sz val="12"/>
      <color theme="1"/>
      <name val="Aptos Narrow"/>
    </font>
    <font>
      <i/>
      <sz val="12"/>
      <color rgb="FF000000"/>
      <name val="Aptos Narrow"/>
    </font>
    <font>
      <b/>
      <u/>
      <sz val="12"/>
      <color theme="1"/>
      <name val="Aptos Narrow"/>
    </font>
    <font>
      <sz val="12"/>
      <name val="Calibri"/>
      <family val="2"/>
      <charset val="1"/>
    </font>
    <font>
      <b/>
      <u/>
      <sz val="12"/>
      <name val="Aptos Narrow"/>
    </font>
    <font>
      <sz val="11"/>
      <color rgb="FF0432FF"/>
      <name val="Aptos Narrow"/>
    </font>
    <font>
      <b/>
      <u/>
      <sz val="11"/>
      <color theme="1"/>
      <name val="Aptos Narrow"/>
    </font>
    <font>
      <sz val="12"/>
      <color theme="1"/>
      <name val="Aptos Narrow (Body)"/>
      <charset val="1"/>
    </font>
    <font>
      <b/>
      <sz val="12"/>
      <color theme="1"/>
      <name val="Aptos Narrow (Body)"/>
      <charset val="1"/>
    </font>
    <font>
      <b/>
      <sz val="11"/>
      <name val="Aptos Narrow"/>
      <family val="2"/>
      <charset val="1"/>
    </font>
    <font>
      <b/>
      <sz val="12"/>
      <name val="Aptos Narrow"/>
      <family val="2"/>
      <charset val="1"/>
    </font>
    <font>
      <sz val="11"/>
      <color theme="1"/>
      <name val="Aptos Narrow (Body)"/>
      <charset val="1"/>
    </font>
    <font>
      <sz val="11"/>
      <color rgb="FF0432FF"/>
      <name val="Aptos Narrow (Body)"/>
      <charset val="1"/>
    </font>
    <font>
      <i/>
      <sz val="12"/>
      <name val="Aptos Narrow"/>
      <family val="2"/>
      <charset val="1"/>
    </font>
    <font>
      <u/>
      <sz val="10"/>
      <color theme="1"/>
      <name val="Aptos Narrow"/>
      <family val="2"/>
      <charset val="1"/>
    </font>
    <font>
      <sz val="12"/>
      <color rgb="FF000000"/>
      <name val="Segoe UI"/>
      <charset val="134"/>
    </font>
    <font>
      <sz val="10"/>
      <name val="Arial"/>
      <family val="2"/>
      <charset val="1"/>
    </font>
    <font>
      <b/>
      <sz val="11"/>
      <color rgb="FFFFFFFF"/>
      <name val="Aptos Narrow"/>
    </font>
    <font>
      <sz val="14"/>
      <color rgb="FF000000"/>
      <name val="-webkit-standard"/>
      <charset val="1"/>
    </font>
    <font>
      <sz val="12"/>
      <color theme="1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3DDFF"/>
        <bgColor rgb="FF99CCFF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B3DDFF"/>
      </patternFill>
    </fill>
    <fill>
      <patternFill patternType="solid">
        <fgColor rgb="FFFCE5CD"/>
        <bgColor rgb="FFD6E4F0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65B3"/>
      </left>
      <right style="thin">
        <color rgb="FF0065B3"/>
      </right>
      <top/>
      <bottom style="thin">
        <color rgb="FF0065B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164" fontId="64" fillId="0" borderId="0"/>
    <xf numFmtId="0" fontId="64" fillId="0" borderId="0"/>
    <xf numFmtId="0" fontId="2" fillId="0" borderId="0"/>
    <xf numFmtId="9" fontId="64" fillId="0" borderId="0"/>
  </cellStyleXfs>
  <cellXfs count="309">
    <xf numFmtId="0" fontId="0" fillId="0" borderId="0" xfId="0"/>
    <xf numFmtId="0" fontId="55" fillId="0" borderId="3" xfId="0" applyFont="1" applyBorder="1" applyAlignment="1">
      <alignment horizontal="left"/>
    </xf>
    <xf numFmtId="0" fontId="3" fillId="0" borderId="1" xfId="0" applyFont="1" applyBorder="1"/>
    <xf numFmtId="0" fontId="0" fillId="0" borderId="1" xfId="0" applyBorder="1"/>
    <xf numFmtId="165" fontId="4" fillId="0" borderId="0" xfId="0" applyNumberFormat="1" applyFont="1" applyAlignment="1">
      <alignment horizontal="left"/>
    </xf>
    <xf numFmtId="0" fontId="0" fillId="0" borderId="2" xfId="0" applyBorder="1"/>
    <xf numFmtId="0" fontId="0" fillId="0" borderId="3" xfId="0" applyBorder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6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37" fontId="6" fillId="0" borderId="0" xfId="0" applyNumberFormat="1" applyFont="1" applyAlignment="1">
      <alignment horizontal="center"/>
    </xf>
    <xf numFmtId="0" fontId="9" fillId="0" borderId="3" xfId="0" applyFont="1" applyBorder="1"/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168" fontId="11" fillId="2" borderId="4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0" fillId="0" borderId="6" xfId="0" applyBorder="1"/>
    <xf numFmtId="169" fontId="3" fillId="0" borderId="6" xfId="0" applyNumberFormat="1" applyFont="1" applyBorder="1"/>
    <xf numFmtId="170" fontId="3" fillId="0" borderId="6" xfId="0" applyNumberFormat="1" applyFont="1" applyBorder="1"/>
    <xf numFmtId="0" fontId="16" fillId="0" borderId="3" xfId="0" applyFont="1" applyBorder="1"/>
    <xf numFmtId="167" fontId="16" fillId="0" borderId="3" xfId="0" applyNumberFormat="1" applyFont="1" applyBorder="1"/>
    <xf numFmtId="0" fontId="17" fillId="0" borderId="0" xfId="0" applyFont="1" applyAlignment="1">
      <alignment horizontal="left" indent="1"/>
    </xf>
    <xf numFmtId="171" fontId="18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/>
    <xf numFmtId="0" fontId="17" fillId="0" borderId="5" xfId="0" applyFont="1" applyBorder="1" applyAlignment="1">
      <alignment horizontal="left" indent="2"/>
    </xf>
    <xf numFmtId="0" fontId="17" fillId="0" borderId="5" xfId="0" applyFont="1" applyBorder="1" applyAlignment="1">
      <alignment horizontal="left" indent="1"/>
    </xf>
    <xf numFmtId="171" fontId="18" fillId="0" borderId="5" xfId="0" applyNumberFormat="1" applyFont="1" applyBorder="1"/>
    <xf numFmtId="171" fontId="19" fillId="0" borderId="0" xfId="0" applyNumberFormat="1" applyFont="1"/>
    <xf numFmtId="0" fontId="20" fillId="0" borderId="0" xfId="0" applyFont="1"/>
    <xf numFmtId="171" fontId="21" fillId="0" borderId="0" xfId="0" applyNumberFormat="1" applyFont="1"/>
    <xf numFmtId="171" fontId="22" fillId="0" borderId="0" xfId="0" applyNumberFormat="1" applyFont="1"/>
    <xf numFmtId="0" fontId="0" fillId="0" borderId="0" xfId="0" applyAlignment="1">
      <alignment horizontal="left" indent="1"/>
    </xf>
    <xf numFmtId="172" fontId="23" fillId="0" borderId="0" xfId="0" applyNumberFormat="1" applyFont="1"/>
    <xf numFmtId="172" fontId="22" fillId="0" borderId="0" xfId="0" applyNumberFormat="1" applyFont="1"/>
    <xf numFmtId="172" fontId="18" fillId="0" borderId="5" xfId="0" applyNumberFormat="1" applyFont="1" applyBorder="1"/>
    <xf numFmtId="37" fontId="18" fillId="0" borderId="5" xfId="0" applyNumberFormat="1" applyFont="1" applyBorder="1"/>
    <xf numFmtId="37" fontId="22" fillId="0" borderId="0" xfId="0" applyNumberFormat="1" applyFont="1"/>
    <xf numFmtId="0" fontId="2" fillId="0" borderId="5" xfId="0" applyFont="1" applyBorder="1"/>
    <xf numFmtId="37" fontId="2" fillId="0" borderId="5" xfId="0" applyNumberFormat="1" applyFont="1" applyBorder="1"/>
    <xf numFmtId="0" fontId="2" fillId="0" borderId="0" xfId="0" applyFont="1"/>
    <xf numFmtId="173" fontId="24" fillId="0" borderId="0" xfId="0" applyNumberFormat="1" applyFont="1"/>
    <xf numFmtId="37" fontId="2" fillId="0" borderId="0" xfId="0" applyNumberFormat="1" applyFont="1"/>
    <xf numFmtId="0" fontId="24" fillId="0" borderId="0" xfId="0" applyFont="1"/>
    <xf numFmtId="174" fontId="2" fillId="0" borderId="0" xfId="0" applyNumberFormat="1" applyFont="1"/>
    <xf numFmtId="0" fontId="3" fillId="0" borderId="3" xfId="0" applyFont="1" applyBorder="1"/>
    <xf numFmtId="169" fontId="3" fillId="0" borderId="0" xfId="0" applyNumberFormat="1" applyFont="1"/>
    <xf numFmtId="170" fontId="3" fillId="0" borderId="0" xfId="0" applyNumberFormat="1" applyFont="1"/>
    <xf numFmtId="0" fontId="16" fillId="0" borderId="0" xfId="0" applyFont="1"/>
    <xf numFmtId="167" fontId="25" fillId="0" borderId="0" xfId="0" applyNumberFormat="1" applyFont="1"/>
    <xf numFmtId="167" fontId="16" fillId="0" borderId="0" xfId="0" applyNumberFormat="1" applyFont="1"/>
    <xf numFmtId="9" fontId="16" fillId="0" borderId="0" xfId="0" applyNumberFormat="1" applyFont="1"/>
    <xf numFmtId="172" fontId="16" fillId="0" borderId="0" xfId="0" applyNumberFormat="1" applyFont="1"/>
    <xf numFmtId="37" fontId="19" fillId="0" borderId="0" xfId="0" applyNumberFormat="1" applyFont="1"/>
    <xf numFmtId="37" fontId="17" fillId="0" borderId="0" xfId="0" applyNumberFormat="1" applyFont="1"/>
    <xf numFmtId="37" fontId="13" fillId="0" borderId="0" xfId="0" applyNumberFormat="1" applyFont="1"/>
    <xf numFmtId="0" fontId="9" fillId="0" borderId="0" xfId="0" applyFont="1"/>
    <xf numFmtId="37" fontId="9" fillId="0" borderId="0" xfId="0" applyNumberFormat="1" applyFont="1"/>
    <xf numFmtId="37" fontId="12" fillId="0" borderId="0" xfId="0" applyNumberFormat="1" applyFont="1"/>
    <xf numFmtId="37" fontId="14" fillId="0" borderId="0" xfId="0" applyNumberFormat="1" applyFont="1"/>
    <xf numFmtId="0" fontId="3" fillId="0" borderId="0" xfId="0" applyFont="1"/>
    <xf numFmtId="0" fontId="9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26" fillId="0" borderId="0" xfId="0" applyFont="1" applyAlignment="1">
      <alignment horizontal="left" indent="1"/>
    </xf>
    <xf numFmtId="10" fontId="27" fillId="0" borderId="0" xfId="0" applyNumberFormat="1" applyFont="1"/>
    <xf numFmtId="37" fontId="28" fillId="0" borderId="0" xfId="0" applyNumberFormat="1" applyFont="1"/>
    <xf numFmtId="37" fontId="29" fillId="0" borderId="0" xfId="0" applyNumberFormat="1" applyFont="1"/>
    <xf numFmtId="165" fontId="16" fillId="0" borderId="0" xfId="0" applyNumberFormat="1" applyFont="1"/>
    <xf numFmtId="169" fontId="0" fillId="0" borderId="0" xfId="0" applyNumberFormat="1"/>
    <xf numFmtId="169" fontId="30" fillId="0" borderId="0" xfId="0" applyNumberFormat="1" applyFont="1"/>
    <xf numFmtId="169" fontId="30" fillId="0" borderId="0" xfId="0" applyNumberFormat="1" applyFont="1" applyAlignment="1">
      <alignment horizontal="right"/>
    </xf>
    <xf numFmtId="170" fontId="30" fillId="0" borderId="0" xfId="0" applyNumberFormat="1" applyFont="1"/>
    <xf numFmtId="167" fontId="0" fillId="0" borderId="3" xfId="0" applyNumberFormat="1" applyBorder="1"/>
    <xf numFmtId="167" fontId="4" fillId="0" borderId="3" xfId="0" applyNumberFormat="1" applyFont="1" applyBorder="1"/>
    <xf numFmtId="167" fontId="4" fillId="0" borderId="0" xfId="0" applyNumberFormat="1" applyFont="1"/>
    <xf numFmtId="0" fontId="31" fillId="0" borderId="0" xfId="0" applyFont="1"/>
    <xf numFmtId="0" fontId="9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37" fontId="6" fillId="0" borderId="0" xfId="0" applyNumberFormat="1" applyFont="1"/>
    <xf numFmtId="37" fontId="0" fillId="0" borderId="0" xfId="0" applyNumberFormat="1"/>
    <xf numFmtId="0" fontId="31" fillId="0" borderId="0" xfId="0" applyFont="1" applyAlignment="1">
      <alignment horizontal="left" indent="4"/>
    </xf>
    <xf numFmtId="0" fontId="3" fillId="0" borderId="0" xfId="0" applyFont="1" applyAlignment="1">
      <alignment horizontal="left" indent="4"/>
    </xf>
    <xf numFmtId="37" fontId="32" fillId="0" borderId="0" xfId="0" applyNumberFormat="1" applyFont="1"/>
    <xf numFmtId="0" fontId="0" fillId="0" borderId="0" xfId="0" applyAlignment="1">
      <alignment horizontal="left"/>
    </xf>
    <xf numFmtId="0" fontId="3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37" fontId="30" fillId="0" borderId="0" xfId="0" applyNumberFormat="1" applyFont="1"/>
    <xf numFmtId="37" fontId="33" fillId="0" borderId="0" xfId="0" applyNumberFormat="1" applyFont="1"/>
    <xf numFmtId="37" fontId="34" fillId="0" borderId="0" xfId="0" applyNumberFormat="1" applyFont="1"/>
    <xf numFmtId="37" fontId="21" fillId="0" borderId="0" xfId="0" applyNumberFormat="1" applyFont="1"/>
    <xf numFmtId="37" fontId="3" fillId="0" borderId="0" xfId="0" applyNumberFormat="1" applyFont="1"/>
    <xf numFmtId="37" fontId="16" fillId="0" borderId="0" xfId="0" applyNumberFormat="1" applyFont="1"/>
    <xf numFmtId="3" fontId="0" fillId="0" borderId="0" xfId="0" applyNumberFormat="1"/>
    <xf numFmtId="0" fontId="34" fillId="0" borderId="0" xfId="0" applyFont="1"/>
    <xf numFmtId="37" fontId="35" fillId="0" borderId="0" xfId="0" applyNumberFormat="1" applyFont="1"/>
    <xf numFmtId="37" fontId="6" fillId="0" borderId="7" xfId="0" applyNumberFormat="1" applyFont="1" applyBorder="1"/>
    <xf numFmtId="0" fontId="0" fillId="0" borderId="7" xfId="0" applyBorder="1" applyAlignment="1">
      <alignment horizontal="left" indent="1"/>
    </xf>
    <xf numFmtId="37" fontId="22" fillId="0" borderId="7" xfId="0" applyNumberFormat="1" applyFont="1" applyBorder="1"/>
    <xf numFmtId="37" fontId="0" fillId="0" borderId="7" xfId="0" applyNumberFormat="1" applyBorder="1"/>
    <xf numFmtId="0" fontId="3" fillId="0" borderId="0" xfId="0" applyFont="1" applyAlignment="1">
      <alignment horizontal="left" indent="1"/>
    </xf>
    <xf numFmtId="171" fontId="0" fillId="0" borderId="0" xfId="0" applyNumberFormat="1"/>
    <xf numFmtId="10" fontId="36" fillId="0" borderId="0" xfId="0" applyNumberFormat="1" applyFont="1"/>
    <xf numFmtId="175" fontId="0" fillId="0" borderId="0" xfId="0" applyNumberFormat="1"/>
    <xf numFmtId="0" fontId="3" fillId="0" borderId="3" xfId="0" applyFont="1" applyBorder="1" applyAlignment="1">
      <alignment horizontal="left"/>
    </xf>
    <xf numFmtId="171" fontId="0" fillId="0" borderId="3" xfId="0" applyNumberFormat="1" applyBorder="1"/>
    <xf numFmtId="171" fontId="21" fillId="0" borderId="3" xfId="0" applyNumberFormat="1" applyFont="1" applyBorder="1"/>
    <xf numFmtId="176" fontId="0" fillId="0" borderId="0" xfId="0" applyNumberFormat="1"/>
    <xf numFmtId="37" fontId="3" fillId="0" borderId="3" xfId="0" applyNumberFormat="1" applyFont="1" applyBorder="1" applyAlignment="1">
      <alignment horizontal="left"/>
    </xf>
    <xf numFmtId="37" fontId="3" fillId="0" borderId="3" xfId="0" applyNumberFormat="1" applyFont="1" applyBorder="1"/>
    <xf numFmtId="170" fontId="0" fillId="0" borderId="3" xfId="0" applyNumberFormat="1" applyBorder="1"/>
    <xf numFmtId="0" fontId="0" fillId="0" borderId="7" xfId="0" applyBorder="1"/>
    <xf numFmtId="9" fontId="22" fillId="0" borderId="0" xfId="0" applyNumberFormat="1" applyFont="1"/>
    <xf numFmtId="0" fontId="3" fillId="0" borderId="7" xfId="0" applyFont="1" applyBorder="1" applyAlignment="1">
      <alignment horizontal="left" indent="1"/>
    </xf>
    <xf numFmtId="37" fontId="3" fillId="0" borderId="7" xfId="0" applyNumberFormat="1" applyFont="1" applyBorder="1"/>
    <xf numFmtId="37" fontId="30" fillId="0" borderId="7" xfId="0" applyNumberFormat="1" applyFont="1" applyBorder="1"/>
    <xf numFmtId="0" fontId="37" fillId="0" borderId="8" xfId="0" applyFont="1" applyBorder="1" applyAlignment="1">
      <alignment horizontal="left" indent="2"/>
    </xf>
    <xf numFmtId="0" fontId="37" fillId="0" borderId="9" xfId="0" applyFont="1" applyBorder="1" applyAlignment="1">
      <alignment horizontal="left" indent="2"/>
    </xf>
    <xf numFmtId="37" fontId="0" fillId="0" borderId="9" xfId="0" applyNumberFormat="1" applyBorder="1"/>
    <xf numFmtId="37" fontId="30" fillId="0" borderId="9" xfId="0" applyNumberFormat="1" applyFont="1" applyBorder="1"/>
    <xf numFmtId="37" fontId="30" fillId="0" borderId="9" xfId="0" applyNumberFormat="1" applyFont="1" applyBorder="1" applyAlignment="1">
      <alignment horizontal="right"/>
    </xf>
    <xf numFmtId="37" fontId="30" fillId="0" borderId="10" xfId="0" applyNumberFormat="1" applyFont="1" applyBorder="1" applyAlignment="1">
      <alignment horizontal="right"/>
    </xf>
    <xf numFmtId="0" fontId="37" fillId="0" borderId="0" xfId="0" applyFont="1" applyAlignment="1">
      <alignment horizontal="center"/>
    </xf>
    <xf numFmtId="37" fontId="38" fillId="0" borderId="0" xfId="0" applyNumberFormat="1" applyFont="1" applyAlignment="1">
      <alignment horizontal="right"/>
    </xf>
    <xf numFmtId="9" fontId="22" fillId="0" borderId="3" xfId="0" applyNumberFormat="1" applyFont="1" applyBorder="1"/>
    <xf numFmtId="37" fontId="0" fillId="0" borderId="6" xfId="0" applyNumberFormat="1" applyBorder="1"/>
    <xf numFmtId="0" fontId="15" fillId="0" borderId="0" xfId="0" applyFont="1" applyAlignment="1">
      <alignment horizontal="left" indent="1"/>
    </xf>
    <xf numFmtId="0" fontId="39" fillId="0" borderId="0" xfId="0" applyFont="1" applyAlignment="1">
      <alignment horizontal="left"/>
    </xf>
    <xf numFmtId="0" fontId="30" fillId="0" borderId="11" xfId="0" applyFont="1" applyBorder="1" applyAlignment="1">
      <alignment horizontal="left" indent="1"/>
    </xf>
    <xf numFmtId="37" fontId="30" fillId="0" borderId="11" xfId="0" applyNumberFormat="1" applyFont="1" applyBorder="1"/>
    <xf numFmtId="37" fontId="0" fillId="0" borderId="11" xfId="0" applyNumberFormat="1" applyBorder="1"/>
    <xf numFmtId="177" fontId="0" fillId="0" borderId="0" xfId="0" applyNumberFormat="1"/>
    <xf numFmtId="177" fontId="40" fillId="0" borderId="0" xfId="0" applyNumberFormat="1" applyFont="1"/>
    <xf numFmtId="0" fontId="41" fillId="0" borderId="3" xfId="0" applyFont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43" fillId="0" borderId="3" xfId="0" applyFont="1" applyBorder="1" applyAlignment="1">
      <alignment vertical="center"/>
    </xf>
    <xf numFmtId="0" fontId="43" fillId="0" borderId="0" xfId="0" applyFont="1" applyAlignment="1">
      <alignment vertical="center"/>
    </xf>
    <xf numFmtId="178" fontId="7" fillId="0" borderId="0" xfId="0" applyNumberFormat="1" applyFont="1" applyAlignment="1">
      <alignment horizontal="center" vertical="center"/>
    </xf>
    <xf numFmtId="179" fontId="8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9" fontId="44" fillId="0" borderId="0" xfId="0" applyNumberFormat="1" applyFont="1" applyAlignment="1">
      <alignment vertical="center"/>
    </xf>
    <xf numFmtId="173" fontId="44" fillId="0" borderId="0" xfId="0" applyNumberFormat="1" applyFont="1"/>
    <xf numFmtId="180" fontId="10" fillId="0" borderId="0" xfId="0" applyNumberFormat="1" applyFont="1" applyAlignment="1">
      <alignment vertical="center"/>
    </xf>
    <xf numFmtId="180" fontId="12" fillId="0" borderId="0" xfId="0" applyNumberFormat="1" applyFont="1" applyAlignment="1">
      <alignment vertical="center"/>
    </xf>
    <xf numFmtId="172" fontId="17" fillId="0" borderId="0" xfId="0" applyNumberFormat="1" applyFont="1"/>
    <xf numFmtId="9" fontId="13" fillId="0" borderId="0" xfId="0" applyNumberFormat="1" applyFont="1" applyAlignment="1">
      <alignment vertical="center"/>
    </xf>
    <xf numFmtId="181" fontId="10" fillId="0" borderId="0" xfId="0" applyNumberFormat="1" applyFont="1" applyAlignment="1">
      <alignment vertical="center"/>
    </xf>
    <xf numFmtId="173" fontId="10" fillId="0" borderId="0" xfId="0" applyNumberFormat="1" applyFont="1" applyAlignment="1">
      <alignment vertical="center"/>
    </xf>
    <xf numFmtId="0" fontId="31" fillId="0" borderId="3" xfId="0" applyFont="1" applyBorder="1"/>
    <xf numFmtId="0" fontId="14" fillId="0" borderId="3" xfId="0" applyFont="1" applyBorder="1"/>
    <xf numFmtId="167" fontId="45" fillId="0" borderId="3" xfId="0" applyNumberFormat="1" applyFont="1" applyBorder="1"/>
    <xf numFmtId="165" fontId="45" fillId="0" borderId="0" xfId="0" applyNumberFormat="1" applyFont="1"/>
    <xf numFmtId="169" fontId="12" fillId="0" borderId="0" xfId="0" applyNumberFormat="1" applyFont="1"/>
    <xf numFmtId="170" fontId="12" fillId="0" borderId="0" xfId="0" applyNumberFormat="1" applyFont="1"/>
    <xf numFmtId="165" fontId="45" fillId="0" borderId="3" xfId="0" applyNumberFormat="1" applyFont="1" applyBorder="1"/>
    <xf numFmtId="167" fontId="46" fillId="0" borderId="3" xfId="0" applyNumberFormat="1" applyFont="1" applyBorder="1"/>
    <xf numFmtId="0" fontId="47" fillId="0" borderId="0" xfId="0" applyFont="1"/>
    <xf numFmtId="3" fontId="9" fillId="0" borderId="0" xfId="0" applyNumberFormat="1" applyFont="1"/>
    <xf numFmtId="172" fontId="19" fillId="0" borderId="0" xfId="0" applyNumberFormat="1" applyFont="1" applyAlignment="1">
      <alignment horizontal="right"/>
    </xf>
    <xf numFmtId="0" fontId="9" fillId="0" borderId="0" xfId="0" applyFont="1" applyAlignment="1">
      <alignment horizontal="left" indent="1"/>
    </xf>
    <xf numFmtId="0" fontId="48" fillId="0" borderId="0" xfId="0" applyFont="1" applyAlignment="1">
      <alignment horizontal="left" vertical="center"/>
    </xf>
    <xf numFmtId="0" fontId="47" fillId="0" borderId="0" xfId="0" applyFont="1" applyAlignment="1">
      <alignment horizontal="left"/>
    </xf>
    <xf numFmtId="37" fontId="10" fillId="0" borderId="0" xfId="0" applyNumberFormat="1" applyFont="1"/>
    <xf numFmtId="0" fontId="28" fillId="0" borderId="0" xfId="0" applyFont="1" applyAlignment="1">
      <alignment horizontal="left" indent="1"/>
    </xf>
    <xf numFmtId="0" fontId="28" fillId="0" borderId="0" xfId="0" applyFont="1" applyAlignment="1">
      <alignment horizontal="left"/>
    </xf>
    <xf numFmtId="1" fontId="9" fillId="0" borderId="0" xfId="0" applyNumberFormat="1" applyFont="1"/>
    <xf numFmtId="9" fontId="28" fillId="0" borderId="0" xfId="0" applyNumberFormat="1" applyFont="1" applyAlignment="1">
      <alignment vertical="center"/>
    </xf>
    <xf numFmtId="9" fontId="49" fillId="0" borderId="0" xfId="0" applyNumberFormat="1" applyFont="1" applyAlignment="1">
      <alignment vertical="center"/>
    </xf>
    <xf numFmtId="9" fontId="28" fillId="0" borderId="0" xfId="0" applyNumberFormat="1" applyFont="1" applyAlignment="1">
      <alignment horizontal="left" vertical="center" indent="1"/>
    </xf>
    <xf numFmtId="0" fontId="28" fillId="0" borderId="0" xfId="0" applyFont="1" applyAlignment="1">
      <alignment horizontal="left" vertical="center" indent="1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9" fontId="11" fillId="0" borderId="0" xfId="0" applyNumberFormat="1" applyFont="1" applyAlignment="1">
      <alignment vertical="center"/>
    </xf>
    <xf numFmtId="180" fontId="8" fillId="0" borderId="0" xfId="0" applyNumberFormat="1" applyFont="1" applyAlignment="1">
      <alignment vertical="center"/>
    </xf>
    <xf numFmtId="0" fontId="17" fillId="0" borderId="3" xfId="0" applyFont="1" applyBorder="1"/>
    <xf numFmtId="172" fontId="50" fillId="0" borderId="0" xfId="0" applyNumberFormat="1" applyFont="1"/>
    <xf numFmtId="9" fontId="17" fillId="0" borderId="0" xfId="0" applyNumberFormat="1" applyFont="1"/>
    <xf numFmtId="173" fontId="50" fillId="0" borderId="0" xfId="0" applyNumberFormat="1" applyFont="1"/>
    <xf numFmtId="0" fontId="51" fillId="0" borderId="0" xfId="0" applyFont="1"/>
    <xf numFmtId="0" fontId="52" fillId="0" borderId="0" xfId="0" applyFont="1"/>
    <xf numFmtId="182" fontId="52" fillId="0" borderId="3" xfId="0" applyNumberFormat="1" applyFont="1" applyBorder="1"/>
    <xf numFmtId="182" fontId="52" fillId="0" borderId="0" xfId="0" applyNumberFormat="1" applyFont="1"/>
    <xf numFmtId="37" fontId="9" fillId="0" borderId="3" xfId="0" applyNumberFormat="1" applyFont="1" applyBorder="1"/>
    <xf numFmtId="0" fontId="53" fillId="0" borderId="0" xfId="0" applyFont="1"/>
    <xf numFmtId="1" fontId="52" fillId="0" borderId="0" xfId="0" applyNumberFormat="1" applyFont="1"/>
    <xf numFmtId="1" fontId="52" fillId="0" borderId="3" xfId="0" applyNumberFormat="1" applyFont="1" applyBorder="1"/>
    <xf numFmtId="183" fontId="52" fillId="0" borderId="0" xfId="0" applyNumberFormat="1" applyFont="1"/>
    <xf numFmtId="174" fontId="52" fillId="0" borderId="0" xfId="0" applyNumberFormat="1" applyFont="1"/>
    <xf numFmtId="0" fontId="0" fillId="0" borderId="3" xfId="0" applyBorder="1" applyAlignment="1">
      <alignment horizontal="left" indent="1"/>
    </xf>
    <xf numFmtId="172" fontId="17" fillId="0" borderId="3" xfId="0" applyNumberFormat="1" applyFont="1" applyBorder="1"/>
    <xf numFmtId="0" fontId="29" fillId="0" borderId="3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54" fillId="0" borderId="3" xfId="0" applyFont="1" applyBorder="1" applyAlignment="1">
      <alignment horizontal="left"/>
    </xf>
    <xf numFmtId="9" fontId="9" fillId="0" borderId="0" xfId="0" applyNumberFormat="1" applyFont="1"/>
    <xf numFmtId="0" fontId="9" fillId="0" borderId="6" xfId="0" applyFont="1" applyBorder="1"/>
    <xf numFmtId="0" fontId="33" fillId="0" borderId="0" xfId="0" applyFont="1"/>
    <xf numFmtId="0" fontId="23" fillId="0" borderId="0" xfId="0" applyFont="1"/>
    <xf numFmtId="3" fontId="28" fillId="0" borderId="0" xfId="0" applyNumberFormat="1" applyFont="1"/>
    <xf numFmtId="173" fontId="40" fillId="0" borderId="0" xfId="0" applyNumberFormat="1" applyFont="1"/>
    <xf numFmtId="184" fontId="33" fillId="0" borderId="0" xfId="0" applyNumberFormat="1" applyFont="1"/>
    <xf numFmtId="0" fontId="14" fillId="0" borderId="3" xfId="0" applyFont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44" fillId="0" borderId="0" xfId="0" applyFont="1"/>
    <xf numFmtId="0" fontId="33" fillId="0" borderId="0" xfId="0" applyFont="1" applyAlignment="1">
      <alignment horizontal="left" indent="1"/>
    </xf>
    <xf numFmtId="0" fontId="33" fillId="0" borderId="0" xfId="0" applyFont="1" applyAlignment="1">
      <alignment horizontal="left" indent="2"/>
    </xf>
    <xf numFmtId="0" fontId="14" fillId="0" borderId="0" xfId="0" applyFont="1" applyAlignment="1">
      <alignment horizontal="left" indent="1"/>
    </xf>
    <xf numFmtId="173" fontId="28" fillId="0" borderId="0" xfId="0" applyNumberFormat="1" applyFont="1"/>
    <xf numFmtId="0" fontId="56" fillId="0" borderId="0" xfId="0" applyFont="1" applyAlignment="1">
      <alignment horizontal="left" indent="1"/>
    </xf>
    <xf numFmtId="173" fontId="57" fillId="0" borderId="0" xfId="0" applyNumberFormat="1" applyFont="1"/>
    <xf numFmtId="10" fontId="56" fillId="0" borderId="0" xfId="0" applyNumberFormat="1" applyFont="1" applyAlignment="1">
      <alignment horizontal="right"/>
    </xf>
    <xf numFmtId="0" fontId="58" fillId="0" borderId="0" xfId="0" applyFont="1" applyAlignment="1">
      <alignment horizontal="left" indent="3"/>
    </xf>
    <xf numFmtId="0" fontId="23" fillId="0" borderId="0" xfId="0" applyFont="1" applyAlignment="1">
      <alignment horizontal="left" indent="2"/>
    </xf>
    <xf numFmtId="0" fontId="55" fillId="0" borderId="6" xfId="0" applyFont="1" applyBorder="1"/>
    <xf numFmtId="0" fontId="54" fillId="0" borderId="6" xfId="0" applyFont="1" applyBorder="1"/>
    <xf numFmtId="37" fontId="14" fillId="0" borderId="6" xfId="0" applyNumberFormat="1" applyFont="1" applyBorder="1"/>
    <xf numFmtId="184" fontId="9" fillId="0" borderId="0" xfId="0" applyNumberFormat="1" applyFont="1" applyAlignment="1">
      <alignment horizontal="right"/>
    </xf>
    <xf numFmtId="0" fontId="14" fillId="0" borderId="6" xfId="0" applyFont="1" applyBorder="1"/>
    <xf numFmtId="177" fontId="28" fillId="0" borderId="6" xfId="0" applyNumberFormat="1" applyFont="1" applyBorder="1"/>
    <xf numFmtId="0" fontId="14" fillId="0" borderId="3" xfId="0" applyFont="1" applyBorder="1" applyAlignment="1">
      <alignment horizontal="right"/>
    </xf>
    <xf numFmtId="0" fontId="14" fillId="0" borderId="0" xfId="0" applyFont="1" applyAlignment="1">
      <alignment horizontal="right"/>
    </xf>
    <xf numFmtId="37" fontId="9" fillId="0" borderId="6" xfId="0" applyNumberFormat="1" applyFont="1" applyBorder="1"/>
    <xf numFmtId="0" fontId="59" fillId="0" borderId="0" xfId="0" applyFont="1" applyAlignment="1">
      <alignment horizontal="right"/>
    </xf>
    <xf numFmtId="0" fontId="41" fillId="0" borderId="0" xfId="0" applyFont="1" applyAlignment="1">
      <alignment horizontal="left"/>
    </xf>
    <xf numFmtId="0" fontId="60" fillId="0" borderId="0" xfId="0" applyFont="1" applyAlignment="1">
      <alignment vertical="center"/>
    </xf>
    <xf numFmtId="0" fontId="2" fillId="0" borderId="0" xfId="0" applyFont="1" applyAlignment="1">
      <alignment horizontal="left" indent="1"/>
    </xf>
    <xf numFmtId="185" fontId="2" fillId="0" borderId="0" xfId="0" applyNumberFormat="1" applyFont="1"/>
    <xf numFmtId="186" fontId="22" fillId="0" borderId="0" xfId="0" applyNumberFormat="1" applyFont="1"/>
    <xf numFmtId="185" fontId="21" fillId="0" borderId="0" xfId="0" applyNumberFormat="1" applyFont="1" applyAlignment="1">
      <alignment horizontal="right"/>
    </xf>
    <xf numFmtId="0" fontId="9" fillId="0" borderId="5" xfId="0" applyFont="1" applyBorder="1" applyAlignment="1">
      <alignment horizontal="left"/>
    </xf>
    <xf numFmtId="0" fontId="10" fillId="0" borderId="5" xfId="0" applyFont="1" applyBorder="1" applyAlignment="1">
      <alignment vertical="center"/>
    </xf>
    <xf numFmtId="37" fontId="10" fillId="0" borderId="0" xfId="0" applyNumberFormat="1" applyFont="1" applyAlignment="1">
      <alignment vertical="center"/>
    </xf>
    <xf numFmtId="171" fontId="6" fillId="0" borderId="0" xfId="0" applyNumberFormat="1" applyFont="1"/>
    <xf numFmtId="186" fontId="6" fillId="0" borderId="0" xfId="0" applyNumberFormat="1" applyFont="1"/>
    <xf numFmtId="37" fontId="5" fillId="0" borderId="0" xfId="0" applyNumberFormat="1" applyFont="1" applyAlignment="1">
      <alignment horizontal="right"/>
    </xf>
    <xf numFmtId="37" fontId="5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left" indent="2"/>
    </xf>
    <xf numFmtId="185" fontId="3" fillId="0" borderId="0" xfId="0" applyNumberFormat="1" applyFont="1"/>
    <xf numFmtId="0" fontId="16" fillId="0" borderId="0" xfId="0" applyFont="1" applyAlignment="1">
      <alignment horizontal="left" indent="1"/>
    </xf>
    <xf numFmtId="0" fontId="0" fillId="0" borderId="3" xfId="0" applyBorder="1" applyAlignment="1">
      <alignment horizontal="right"/>
    </xf>
    <xf numFmtId="0" fontId="34" fillId="0" borderId="0" xfId="0" applyFont="1" applyAlignment="1">
      <alignment horizontal="left"/>
    </xf>
    <xf numFmtId="172" fontId="6" fillId="0" borderId="0" xfId="0" applyNumberFormat="1" applyFont="1"/>
    <xf numFmtId="10" fontId="0" fillId="0" borderId="0" xfId="0" applyNumberFormat="1"/>
    <xf numFmtId="165" fontId="16" fillId="0" borderId="6" xfId="0" applyNumberFormat="1" applyFont="1" applyBorder="1"/>
    <xf numFmtId="169" fontId="30" fillId="0" borderId="6" xfId="0" applyNumberFormat="1" applyFont="1" applyBorder="1"/>
    <xf numFmtId="170" fontId="30" fillId="0" borderId="6" xfId="0" applyNumberFormat="1" applyFont="1" applyBorder="1"/>
    <xf numFmtId="165" fontId="16" fillId="0" borderId="3" xfId="0" applyNumberFormat="1" applyFont="1" applyBorder="1"/>
    <xf numFmtId="9" fontId="40" fillId="0" borderId="0" xfId="0" applyNumberFormat="1" applyFont="1"/>
    <xf numFmtId="0" fontId="0" fillId="0" borderId="0" xfId="0" applyAlignment="1">
      <alignment horizontal="right"/>
    </xf>
    <xf numFmtId="9" fontId="33" fillId="0" borderId="0" xfId="0" applyNumberFormat="1" applyFont="1"/>
    <xf numFmtId="10" fontId="14" fillId="0" borderId="0" xfId="0" applyNumberFormat="1" applyFont="1"/>
    <xf numFmtId="173" fontId="14" fillId="0" borderId="0" xfId="0" applyNumberFormat="1" applyFont="1"/>
    <xf numFmtId="9" fontId="0" fillId="0" borderId="0" xfId="0" applyNumberFormat="1"/>
    <xf numFmtId="173" fontId="0" fillId="0" borderId="5" xfId="0" applyNumberFormat="1" applyBorder="1"/>
    <xf numFmtId="173" fontId="0" fillId="0" borderId="12" xfId="0" applyNumberFormat="1" applyBorder="1"/>
    <xf numFmtId="9" fontId="61" fillId="0" borderId="0" xfId="0" applyNumberFormat="1" applyFont="1"/>
    <xf numFmtId="173" fontId="0" fillId="0" borderId="0" xfId="0" applyNumberFormat="1"/>
    <xf numFmtId="0" fontId="29" fillId="0" borderId="0" xfId="0" applyFont="1"/>
    <xf numFmtId="0" fontId="62" fillId="3" borderId="0" xfId="0" applyFont="1" applyFill="1"/>
    <xf numFmtId="0" fontId="28" fillId="4" borderId="0" xfId="0" applyFont="1" applyFill="1"/>
    <xf numFmtId="173" fontId="13" fillId="4" borderId="0" xfId="0" applyNumberFormat="1" applyFont="1" applyFill="1"/>
    <xf numFmtId="172" fontId="13" fillId="4" borderId="0" xfId="0" applyNumberFormat="1" applyFont="1" applyFill="1"/>
    <xf numFmtId="187" fontId="28" fillId="4" borderId="0" xfId="0" applyNumberFormat="1" applyFont="1" applyFill="1"/>
    <xf numFmtId="0" fontId="13" fillId="4" borderId="0" xfId="0" applyFont="1" applyFill="1"/>
    <xf numFmtId="9" fontId="28" fillId="4" borderId="0" xfId="0" applyNumberFormat="1" applyFont="1" applyFill="1"/>
    <xf numFmtId="0" fontId="28" fillId="0" borderId="0" xfId="0" applyFont="1"/>
    <xf numFmtId="173" fontId="13" fillId="0" borderId="0" xfId="0" applyNumberFormat="1" applyFont="1"/>
    <xf numFmtId="172" fontId="13" fillId="0" borderId="0" xfId="0" applyNumberFormat="1" applyFont="1"/>
    <xf numFmtId="187" fontId="13" fillId="0" borderId="0" xfId="0" applyNumberFormat="1" applyFont="1"/>
    <xf numFmtId="0" fontId="13" fillId="0" borderId="0" xfId="0" applyFont="1"/>
    <xf numFmtId="10" fontId="13" fillId="4" borderId="0" xfId="0" applyNumberFormat="1" applyFont="1" applyFill="1"/>
    <xf numFmtId="173" fontId="29" fillId="0" borderId="0" xfId="0" applyNumberFormat="1" applyFont="1"/>
    <xf numFmtId="0" fontId="21" fillId="0" borderId="0" xfId="0" applyFont="1"/>
    <xf numFmtId="0" fontId="22" fillId="0" borderId="0" xfId="0" applyFont="1" applyAlignment="1">
      <alignment horizontal="center"/>
    </xf>
    <xf numFmtId="166" fontId="22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167" fontId="22" fillId="0" borderId="0" xfId="0" applyNumberFormat="1" applyFont="1" applyAlignment="1">
      <alignment horizontal="center"/>
    </xf>
    <xf numFmtId="37" fontId="22" fillId="0" borderId="0" xfId="0" applyNumberFormat="1" applyFont="1" applyAlignment="1">
      <alignment horizontal="center"/>
    </xf>
    <xf numFmtId="37" fontId="41" fillId="0" borderId="0" xfId="0" applyNumberFormat="1" applyFont="1"/>
    <xf numFmtId="37" fontId="63" fillId="0" borderId="0" xfId="0" applyNumberFormat="1" applyFont="1"/>
    <xf numFmtId="184" fontId="9" fillId="0" borderId="0" xfId="0" applyNumberFormat="1" applyFont="1"/>
    <xf numFmtId="0" fontId="23" fillId="0" borderId="3" xfId="0" applyFont="1" applyBorder="1"/>
    <xf numFmtId="175" fontId="22" fillId="5" borderId="13" xfId="0" applyNumberFormat="1" applyFont="1" applyFill="1" applyBorder="1" applyAlignment="1">
      <alignment horizontal="center"/>
    </xf>
    <xf numFmtId="0" fontId="45" fillId="0" borderId="0" xfId="0" applyFont="1" applyAlignment="1">
      <alignment horizontal="left" indent="2"/>
    </xf>
    <xf numFmtId="4" fontId="0" fillId="0" borderId="0" xfId="0" applyNumberFormat="1"/>
    <xf numFmtId="37" fontId="0" fillId="6" borderId="0" xfId="0" applyNumberFormat="1" applyFill="1"/>
    <xf numFmtId="37" fontId="21" fillId="0" borderId="6" xfId="0" applyNumberFormat="1" applyFont="1" applyBorder="1"/>
    <xf numFmtId="37" fontId="21" fillId="0" borderId="7" xfId="0" applyNumberFormat="1" applyFont="1" applyBorder="1"/>
    <xf numFmtId="3" fontId="0" fillId="6" borderId="0" xfId="0" applyNumberFormat="1" applyFill="1"/>
    <xf numFmtId="0" fontId="0" fillId="0" borderId="9" xfId="0" applyBorder="1"/>
    <xf numFmtId="37" fontId="38" fillId="0" borderId="9" xfId="0" applyNumberFormat="1" applyFont="1" applyBorder="1" applyAlignment="1">
      <alignment horizontal="right"/>
    </xf>
    <xf numFmtId="37" fontId="38" fillId="0" borderId="10" xfId="0" applyNumberFormat="1" applyFont="1" applyBorder="1" applyAlignment="1">
      <alignment horizontal="right"/>
    </xf>
    <xf numFmtId="188" fontId="22" fillId="0" borderId="0" xfId="0" applyNumberFormat="1" applyFont="1"/>
    <xf numFmtId="188" fontId="23" fillId="0" borderId="0" xfId="0" applyNumberFormat="1" applyFont="1"/>
    <xf numFmtId="176" fontId="23" fillId="0" borderId="0" xfId="0" applyNumberFormat="1" applyFont="1"/>
    <xf numFmtId="10" fontId="22" fillId="0" borderId="0" xfId="0" applyNumberFormat="1" applyFont="1"/>
    <xf numFmtId="0" fontId="3" fillId="0" borderId="6" xfId="0" applyFont="1" applyBorder="1" applyAlignment="1">
      <alignment horizontal="center"/>
    </xf>
    <xf numFmtId="0" fontId="55" fillId="0" borderId="0" xfId="0" applyFont="1" applyAlignment="1">
      <alignment horizontal="left"/>
    </xf>
    <xf numFmtId="0" fontId="55" fillId="0" borderId="3" xfId="0" applyFont="1" applyBorder="1" applyAlignment="1">
      <alignment horizontal="left"/>
    </xf>
  </cellXfs>
  <cellStyles count="5">
    <cellStyle name="Currency 2" xfId="1" xr:uid="{00000000-0005-0000-0000-000006000000}"/>
    <cellStyle name="Normal" xfId="0" builtinId="0"/>
    <cellStyle name="Normal 2" xfId="2" xr:uid="{00000000-0005-0000-0000-000007000000}"/>
    <cellStyle name="Normal 3" xfId="3" xr:uid="{00000000-0005-0000-0000-000008000000}"/>
    <cellStyle name="Percent 2" xfId="4" xr:uid="{00000000-0005-0000-0000-000009000000}"/>
  </cellStyles>
  <dxfs count="10">
    <dxf>
      <fill>
        <patternFill>
          <bgColor theme="8"/>
        </patternFill>
      </fill>
      <border diagonalUp="0" diagonalDown="0">
        <left/>
        <right/>
        <top style="thin">
          <color rgb="FF9C0006"/>
        </top>
        <bottom style="thin">
          <color rgb="FF9C0006"/>
        </bottom>
      </border>
    </dxf>
    <dxf>
      <fill>
        <patternFill>
          <bgColor theme="8"/>
        </patternFill>
      </fill>
      <border diagonalUp="0" diagonalDown="0">
        <left/>
        <right/>
        <top style="thin">
          <color rgb="FF9C0006"/>
        </top>
        <bottom style="thin">
          <color rgb="FF9C0006"/>
        </bottom>
      </border>
    </dxf>
    <dxf>
      <fill>
        <patternFill>
          <bgColor theme="8"/>
        </patternFill>
      </fill>
      <border diagonalUp="0" diagonalDown="0">
        <left/>
        <right/>
        <top style="thin">
          <color rgb="FF9C0006"/>
        </top>
        <bottom style="thin">
          <color rgb="FF9C0006"/>
        </bottom>
      </border>
    </dxf>
    <dxf>
      <fill>
        <patternFill>
          <bgColor theme="8"/>
        </patternFill>
      </fill>
      <border diagonalUp="0" diagonalDown="0">
        <left/>
        <right/>
        <top style="thin">
          <color rgb="FF9C0006"/>
        </top>
        <bottom style="thin">
          <color rgb="FF9C0006"/>
        </bottom>
      </border>
    </dxf>
    <dxf>
      <fill>
        <patternFill>
          <bgColor theme="8"/>
        </patternFill>
      </fill>
      <border diagonalUp="0" diagonalDown="0">
        <left/>
        <right/>
        <top style="thin">
          <color rgb="FF9C0006"/>
        </top>
        <bottom style="thin">
          <color rgb="FF9C0006"/>
        </bottom>
      </border>
    </dxf>
    <dxf>
      <fill>
        <patternFill>
          <bgColor theme="8"/>
        </patternFill>
      </fill>
      <border diagonalUp="0" diagonalDown="0">
        <left/>
        <right/>
        <top style="thin">
          <color rgb="FF9C0006"/>
        </top>
        <bottom style="thin">
          <color rgb="FF9C0006"/>
        </bottom>
      </border>
    </dxf>
    <dxf>
      <fill>
        <patternFill>
          <bgColor theme="8"/>
        </patternFill>
      </fill>
      <border diagonalUp="0" diagonalDown="0">
        <left/>
        <right/>
        <top style="thin">
          <color rgb="FF9C0006"/>
        </top>
        <bottom style="thin">
          <color rgb="FF9C0006"/>
        </bottom>
      </border>
    </dxf>
    <dxf>
      <fill>
        <patternFill>
          <bgColor theme="8"/>
        </patternFill>
      </fill>
      <border diagonalUp="0" diagonalDown="0">
        <left/>
        <right/>
        <top style="thin">
          <color rgb="FF9C0006"/>
        </top>
        <bottom style="thin">
          <color rgb="FF9C0006"/>
        </bottom>
      </border>
    </dxf>
    <dxf>
      <fill>
        <patternFill>
          <bgColor theme="8"/>
        </patternFill>
      </fill>
      <border diagonalUp="0" diagonalDown="0">
        <left/>
        <right/>
        <top style="thin">
          <color rgb="FF9C0006"/>
        </top>
        <bottom style="thin">
          <color rgb="FF9C0006"/>
        </bottom>
      </border>
    </dxf>
    <dxf>
      <fill>
        <patternFill>
          <bgColor theme="8"/>
        </patternFill>
      </fill>
      <border diagonalUp="0" diagonalDown="0">
        <left/>
        <right/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02B93"/>
      <rgbColor rgb="FFFCE5CD"/>
      <rgbColor rgb="FFD6E4F0"/>
      <rgbColor rgb="FF660066"/>
      <rgbColor rgb="FFFF8080"/>
      <rgbColor rgb="FF0065B3"/>
      <rgbColor rgb="FFB3DDFF"/>
      <rgbColor rgb="FF000080"/>
      <rgbColor rgb="FFFF00FF"/>
      <rgbColor rgb="FFFFFF00"/>
      <rgbColor rgb="FF00FFFF"/>
      <rgbColor rgb="FF800080"/>
      <rgbColor rgb="FF800000"/>
      <rgbColor rgb="FF008080"/>
      <rgbColor rgb="FF0432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D3D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78"/>
  <sheetViews>
    <sheetView showGridLines="0" tabSelected="1" topLeftCell="A70" zoomScale="125" zoomScaleNormal="125" workbookViewId="0">
      <selection activeCell="E92" sqref="E92"/>
    </sheetView>
  </sheetViews>
  <sheetFormatPr baseColWidth="10" defaultColWidth="11" defaultRowHeight="16"/>
  <cols>
    <col min="1" max="1" width="4.1640625" customWidth="1"/>
    <col min="2" max="2" width="2.1640625" customWidth="1"/>
    <col min="3" max="3" width="36" customWidth="1"/>
    <col min="12" max="12" width="9.6640625" customWidth="1"/>
    <col min="13" max="13" width="2.83203125" customWidth="1"/>
  </cols>
  <sheetData>
    <row r="2" spans="2:14" ht="15.75" customHeight="1">
      <c r="B2" t="s">
        <v>0</v>
      </c>
      <c r="C2" s="2" t="str">
        <f>"Financial Statement Model for "&amp;D5</f>
        <v>Financial Statement Model for StandardAero</v>
      </c>
      <c r="D2" s="2"/>
      <c r="E2" s="3"/>
      <c r="F2" s="3"/>
      <c r="G2" s="3"/>
      <c r="H2" s="3"/>
      <c r="I2" s="3"/>
      <c r="J2" s="3"/>
      <c r="K2" s="3"/>
      <c r="L2" s="3"/>
      <c r="M2" s="3"/>
    </row>
    <row r="3" spans="2:14" ht="15.75" customHeight="1">
      <c r="C3" s="4" t="s">
        <v>1</v>
      </c>
      <c r="D3" s="4"/>
      <c r="E3" s="5"/>
      <c r="F3" s="5"/>
      <c r="G3" s="5"/>
      <c r="H3" s="5"/>
      <c r="I3" s="5"/>
      <c r="J3" s="5"/>
      <c r="N3" s="6" t="s">
        <v>2</v>
      </c>
    </row>
    <row r="4" spans="2:14" ht="15.75" customHeight="1"/>
    <row r="5" spans="2:14" ht="15.75" customHeight="1">
      <c r="C5" s="7" t="s">
        <v>3</v>
      </c>
      <c r="D5" s="8" t="s">
        <v>4</v>
      </c>
      <c r="F5" s="9"/>
      <c r="G5" s="9"/>
      <c r="H5" s="10"/>
      <c r="N5" s="10"/>
    </row>
    <row r="6" spans="2:14" ht="15.75" customHeight="1">
      <c r="C6" s="7" t="s">
        <v>5</v>
      </c>
      <c r="D6" s="8" t="s">
        <v>6</v>
      </c>
      <c r="H6" s="11"/>
      <c r="N6" s="11"/>
    </row>
    <row r="7" spans="2:14" ht="15.75" customHeight="1">
      <c r="C7" t="s">
        <v>7</v>
      </c>
      <c r="D7" s="12">
        <v>25.59</v>
      </c>
      <c r="J7" s="10"/>
      <c r="N7" s="10"/>
    </row>
    <row r="8" spans="2:14" ht="15.75" customHeight="1">
      <c r="C8" t="s">
        <v>8</v>
      </c>
      <c r="D8" s="13">
        <v>46119</v>
      </c>
      <c r="J8" s="11"/>
      <c r="N8" s="10"/>
    </row>
    <row r="9" spans="2:14" ht="15.75" customHeight="1">
      <c r="C9" s="7" t="s">
        <v>9</v>
      </c>
      <c r="D9" s="14">
        <v>46022</v>
      </c>
      <c r="J9" s="10"/>
      <c r="N9" s="10"/>
    </row>
    <row r="10" spans="2:14" ht="15.75" customHeight="1">
      <c r="C10" t="s">
        <v>10</v>
      </c>
      <c r="D10" s="15">
        <v>334294</v>
      </c>
      <c r="J10" s="10"/>
      <c r="N10" t="s">
        <v>11</v>
      </c>
    </row>
    <row r="11" spans="2:14" ht="15.75" customHeight="1">
      <c r="C11" s="16" t="s">
        <v>12</v>
      </c>
      <c r="D11" s="17" t="s">
        <v>13</v>
      </c>
      <c r="E11" s="18"/>
      <c r="F11" s="17" t="s">
        <v>14</v>
      </c>
      <c r="G11" s="17"/>
      <c r="H11" s="19"/>
      <c r="J11" s="10"/>
    </row>
    <row r="12" spans="2:14" ht="15.75" customHeight="1">
      <c r="C12" s="20">
        <v>2</v>
      </c>
      <c r="D12" s="21" t="str">
        <f ca="1">OFFSET(D12,$C$12,)</f>
        <v>[Case 2]</v>
      </c>
      <c r="E12" s="21"/>
      <c r="F12" s="21" t="str">
        <f ca="1">OFFSET(F12,$C$12,)</f>
        <v>Investment Case</v>
      </c>
      <c r="G12" s="21"/>
      <c r="H12" s="22"/>
    </row>
    <row r="13" spans="2:14" ht="15.75" customHeight="1">
      <c r="C13" s="23">
        <v>1</v>
      </c>
      <c r="D13" s="24" t="s">
        <v>15</v>
      </c>
      <c r="E13" s="19"/>
      <c r="F13" s="19" t="s">
        <v>16</v>
      </c>
      <c r="G13" s="19"/>
      <c r="H13" s="19"/>
    </row>
    <row r="14" spans="2:14" ht="15.75" customHeight="1">
      <c r="C14" s="23">
        <v>2</v>
      </c>
      <c r="D14" s="24" t="s">
        <v>17</v>
      </c>
      <c r="E14" s="19"/>
      <c r="F14" s="19" t="s">
        <v>18</v>
      </c>
      <c r="G14" s="19"/>
      <c r="H14" s="19"/>
    </row>
    <row r="15" spans="2:14" ht="15.75" customHeight="1">
      <c r="C15" s="23">
        <v>3</v>
      </c>
      <c r="D15" s="24" t="s">
        <v>19</v>
      </c>
      <c r="E15" s="19"/>
      <c r="F15" s="19" t="s">
        <v>20</v>
      </c>
      <c r="G15" s="19"/>
      <c r="H15" s="19"/>
    </row>
    <row r="17" spans="3:14" ht="15.75" customHeight="1">
      <c r="C17" s="25" t="s">
        <v>21</v>
      </c>
      <c r="D17" s="26"/>
    </row>
    <row r="18" spans="3:14" ht="15.75" customHeight="1">
      <c r="C18" s="27" t="s">
        <v>22</v>
      </c>
      <c r="D18" s="27"/>
      <c r="E18" s="28">
        <v>2023</v>
      </c>
      <c r="F18" s="28">
        <v>2024</v>
      </c>
      <c r="G18" s="28">
        <v>2025</v>
      </c>
      <c r="H18" s="29">
        <v>2026</v>
      </c>
      <c r="I18" s="29">
        <v>2027</v>
      </c>
      <c r="J18" s="29">
        <v>2028</v>
      </c>
      <c r="K18" s="29">
        <v>2029</v>
      </c>
      <c r="L18" s="29">
        <v>2030</v>
      </c>
    </row>
    <row r="19" spans="3:14" ht="15.75" customHeight="1">
      <c r="C19" s="30" t="s">
        <v>23</v>
      </c>
      <c r="D19" s="30"/>
      <c r="E19" s="31">
        <v>45291</v>
      </c>
      <c r="F19" s="31">
        <v>45657</v>
      </c>
      <c r="G19" s="31">
        <v>46022</v>
      </c>
      <c r="H19" s="31">
        <v>46387</v>
      </c>
      <c r="I19" s="31">
        <v>46752</v>
      </c>
      <c r="J19" s="31">
        <v>47118</v>
      </c>
      <c r="K19" s="31">
        <v>47483</v>
      </c>
      <c r="L19" s="31">
        <v>47848</v>
      </c>
    </row>
    <row r="20" spans="3:14" ht="15.75" customHeight="1">
      <c r="C20" s="25"/>
      <c r="D20" s="26"/>
    </row>
    <row r="21" spans="3:14" ht="15.75" customHeight="1">
      <c r="C21" s="32" t="s">
        <v>24</v>
      </c>
      <c r="D21" s="32"/>
      <c r="E21" s="33"/>
      <c r="F21" s="33">
        <f>(Model!F9-Model!E9)/Model!E9</f>
        <v>0.14767369289310067</v>
      </c>
      <c r="G21" s="33">
        <f>(Model!H9-Model!F9)/Model!F9</f>
        <v>0.157595116896349</v>
      </c>
      <c r="H21" s="33">
        <f ca="1">(Model!I9-Model!H9)/Model!H9</f>
        <v>0.12467502579788706</v>
      </c>
      <c r="I21" s="33">
        <f ca="1">(Model!J9-Model!I9)/Model!I9</f>
        <v>0.13607750504262323</v>
      </c>
      <c r="J21" s="33">
        <f ca="1">(Model!K9-Model!J9)/Model!J9</f>
        <v>0.12136802317302511</v>
      </c>
      <c r="K21" s="33">
        <f ca="1">(Model!L9-Model!K9)/Model!K9</f>
        <v>0.11201430339932392</v>
      </c>
      <c r="L21" s="33">
        <f ca="1">(Model!M9-Model!L9)/Model!L9</f>
        <v>9.4108201227779617E-2</v>
      </c>
      <c r="N21" t="s">
        <v>25</v>
      </c>
    </row>
    <row r="22" spans="3:14" ht="15.75" customHeight="1">
      <c r="C22" s="34"/>
      <c r="D22" s="35"/>
      <c r="E22" s="36"/>
      <c r="F22" s="36"/>
      <c r="G22" s="36"/>
      <c r="H22" s="36"/>
      <c r="I22" s="36"/>
      <c r="J22" s="36"/>
      <c r="K22" s="36"/>
      <c r="L22" s="36"/>
    </row>
    <row r="23" spans="3:14" ht="15.75" customHeight="1">
      <c r="C23" s="37" t="s">
        <v>26</v>
      </c>
      <c r="D23" s="38"/>
      <c r="E23" s="39"/>
      <c r="F23" s="39">
        <f ca="1">OFFSET(F23,Drivers!$C$12,)</f>
        <v>0.14688651580742879</v>
      </c>
      <c r="G23" s="39">
        <f ca="1">OFFSET(G23,Drivers!$C$12,)</f>
        <v>0.15269167976930459</v>
      </c>
      <c r="H23" s="39">
        <f ca="1">OFFSET(H23,Drivers!$C$12,)</f>
        <v>0.12</v>
      </c>
      <c r="I23" s="39">
        <f ca="1">OFFSET(I23,Drivers!$C$12,)</f>
        <v>0.13</v>
      </c>
      <c r="J23" s="39">
        <f ca="1">OFFSET(J23,Drivers!$C$12,)</f>
        <v>0.11</v>
      </c>
      <c r="K23" s="39">
        <f ca="1">OFFSET(K23,Drivers!$C$12,)</f>
        <v>0.1</v>
      </c>
      <c r="L23" s="39">
        <f ca="1">OFFSET(L23,Drivers!$C$12,)</f>
        <v>0.08</v>
      </c>
    </row>
    <row r="24" spans="3:14" ht="15.75" customHeight="1">
      <c r="C24" s="34">
        <f>Drivers!$C$13</f>
        <v>1</v>
      </c>
      <c r="D24" s="35" t="str">
        <f>Drivers!$D$13</f>
        <v>[Case 1]</v>
      </c>
      <c r="E24" s="36"/>
      <c r="F24" s="33">
        <f>(Model!F$6-Model!E$6)/Model!E$6</f>
        <v>0.14688651580742879</v>
      </c>
      <c r="G24" s="33">
        <f>(Model!H$6-Model!F$6)/Model!F$6</f>
        <v>0.15269167976930459</v>
      </c>
      <c r="H24" s="40">
        <v>0.14499999999999999</v>
      </c>
      <c r="I24" s="40">
        <v>0.125</v>
      </c>
      <c r="J24" s="40">
        <v>0.115</v>
      </c>
      <c r="K24" s="40">
        <v>0.105</v>
      </c>
      <c r="L24" s="40">
        <v>0.1</v>
      </c>
    </row>
    <row r="25" spans="3:14" ht="15.75" customHeight="1">
      <c r="C25" s="34">
        <f>Drivers!$C$14</f>
        <v>2</v>
      </c>
      <c r="D25" s="35" t="str">
        <f>Drivers!$D$14</f>
        <v>[Case 2]</v>
      </c>
      <c r="E25" s="36"/>
      <c r="F25" s="33">
        <f>(Model!F$6-Model!E$6)/Model!E$6</f>
        <v>0.14688651580742879</v>
      </c>
      <c r="G25" s="33">
        <f>(Model!H$6-Model!F$6)/Model!F$6</f>
        <v>0.15269167976930459</v>
      </c>
      <c r="H25" s="40">
        <v>0.12</v>
      </c>
      <c r="I25" s="40">
        <v>0.13</v>
      </c>
      <c r="J25" s="40">
        <v>0.11</v>
      </c>
      <c r="K25" s="40">
        <v>0.1</v>
      </c>
      <c r="L25" s="40">
        <v>0.08</v>
      </c>
      <c r="N25" t="s">
        <v>27</v>
      </c>
    </row>
    <row r="26" spans="3:14" ht="15.75" customHeight="1">
      <c r="C26" s="34">
        <f>Drivers!$C$15</f>
        <v>3</v>
      </c>
      <c r="D26" s="35" t="str">
        <f>Drivers!$D$15</f>
        <v>[Case 3]</v>
      </c>
      <c r="E26" s="36"/>
      <c r="F26" s="33">
        <f>(Model!F$6-Model!E$6)/Model!E$6</f>
        <v>0.14688651580742879</v>
      </c>
      <c r="G26" s="33">
        <f>(Model!H$6-Model!F$6)/Model!F$6</f>
        <v>0.15269167976930459</v>
      </c>
      <c r="H26" s="40">
        <v>0.09</v>
      </c>
      <c r="I26" s="40">
        <v>0.09</v>
      </c>
      <c r="J26" s="40">
        <v>0.08</v>
      </c>
      <c r="K26" s="40">
        <v>0.08</v>
      </c>
      <c r="L26" s="40">
        <v>7.0000000000000007E-2</v>
      </c>
      <c r="N26" s="41" t="s">
        <v>28</v>
      </c>
    </row>
    <row r="27" spans="3:14" ht="15.75" customHeight="1">
      <c r="C27" s="34"/>
      <c r="D27" s="35"/>
      <c r="E27" s="36"/>
      <c r="F27" s="36"/>
      <c r="G27" s="36"/>
      <c r="H27" s="36"/>
      <c r="I27" s="36"/>
      <c r="J27" s="36"/>
      <c r="K27" s="36"/>
      <c r="L27" s="36"/>
    </row>
    <row r="28" spans="3:14" ht="15.75" customHeight="1">
      <c r="C28" s="37" t="s">
        <v>29</v>
      </c>
      <c r="D28" s="38"/>
      <c r="E28" s="39"/>
      <c r="F28" s="39">
        <f ca="1">OFFSET(F28,Drivers!$C$12,)</f>
        <v>0.15388301104757157</v>
      </c>
      <c r="G28" s="39">
        <f ca="1">OFFSET(G28,Drivers!$C$12,)</f>
        <v>0.19603930981631337</v>
      </c>
      <c r="H28" s="39">
        <f ca="1">OFFSET(H28,Drivers!$C$12,)</f>
        <v>0.16</v>
      </c>
      <c r="I28" s="39">
        <f ca="1">OFFSET(I28,Drivers!$C$12,)</f>
        <v>0.15</v>
      </c>
      <c r="J28" s="39">
        <f ca="1">OFFSET(J28,Drivers!$C$12,)</f>
        <v>0.15</v>
      </c>
      <c r="K28" s="39">
        <f ca="1">OFFSET(K28,Drivers!$C$12,)</f>
        <v>0.14000000000000001</v>
      </c>
      <c r="L28" s="39">
        <f ca="1">OFFSET(L28,Drivers!$C$12,)</f>
        <v>0.13</v>
      </c>
    </row>
    <row r="29" spans="3:14" ht="15.75" customHeight="1">
      <c r="C29" s="34">
        <f>Drivers!$C$13</f>
        <v>1</v>
      </c>
      <c r="D29" s="35" t="str">
        <f>Drivers!$D$13</f>
        <v>[Case 1]</v>
      </c>
      <c r="E29" s="36"/>
      <c r="F29" s="33">
        <f>(Model!F$7-Model!E$7)/Model!E$7</f>
        <v>0.15388301104757157</v>
      </c>
      <c r="G29" s="33">
        <f>(Model!H$7-Model!F$7)/Model!F$7</f>
        <v>0.19603930981631337</v>
      </c>
      <c r="H29" s="40">
        <v>0.17</v>
      </c>
      <c r="I29" s="40">
        <v>0.16</v>
      </c>
      <c r="J29" s="40">
        <v>0.155</v>
      </c>
      <c r="K29" s="40">
        <v>0.155</v>
      </c>
      <c r="L29" s="40">
        <v>0.15</v>
      </c>
    </row>
    <row r="30" spans="3:14" ht="15.75" customHeight="1">
      <c r="C30" s="34">
        <f>Drivers!$C$14</f>
        <v>2</v>
      </c>
      <c r="D30" s="35" t="str">
        <f>Drivers!$D$14</f>
        <v>[Case 2]</v>
      </c>
      <c r="E30" s="36"/>
      <c r="F30" s="33">
        <f>(Model!F$7-Model!E$7)/Model!E$7</f>
        <v>0.15388301104757157</v>
      </c>
      <c r="G30" s="33">
        <f>(Model!H$7-Model!F$7)/Model!F$7</f>
        <v>0.19603930981631337</v>
      </c>
      <c r="H30" s="40">
        <v>0.16</v>
      </c>
      <c r="I30" s="40">
        <v>0.15</v>
      </c>
      <c r="J30" s="40">
        <v>0.15</v>
      </c>
      <c r="K30" s="40">
        <v>0.14000000000000001</v>
      </c>
      <c r="L30" s="40">
        <v>0.13</v>
      </c>
      <c r="N30" t="s">
        <v>30</v>
      </c>
    </row>
    <row r="31" spans="3:14" ht="15.75" customHeight="1">
      <c r="C31" s="34">
        <f>Drivers!$C$15</f>
        <v>3</v>
      </c>
      <c r="D31" s="35" t="str">
        <f>Drivers!$D$15</f>
        <v>[Case 3]</v>
      </c>
      <c r="E31" s="36"/>
      <c r="F31" s="33">
        <f>(Model!F$7-Model!E$7)/Model!E$7</f>
        <v>0.15388301104757157</v>
      </c>
      <c r="G31" s="33">
        <f>(Model!H$7-Model!F$7)/Model!F$7</f>
        <v>0.19603930981631337</v>
      </c>
      <c r="H31" s="40">
        <v>0.15</v>
      </c>
      <c r="I31" s="40">
        <v>0.15</v>
      </c>
      <c r="J31" s="40">
        <v>0.14000000000000001</v>
      </c>
      <c r="K31" s="40">
        <v>0.14000000000000001</v>
      </c>
      <c r="L31" s="40">
        <v>0.13</v>
      </c>
      <c r="N31" s="41" t="s">
        <v>31</v>
      </c>
    </row>
    <row r="32" spans="3:14" ht="15.75" customHeight="1">
      <c r="C32" s="34"/>
      <c r="D32" s="35"/>
      <c r="E32" s="36"/>
      <c r="F32" s="33"/>
      <c r="G32" s="33"/>
      <c r="H32" s="40"/>
      <c r="I32" s="40"/>
      <c r="J32" s="40"/>
      <c r="K32" s="40"/>
      <c r="L32" s="40"/>
    </row>
    <row r="33" spans="3:14" ht="15.75" customHeight="1">
      <c r="C33" s="37" t="s">
        <v>32</v>
      </c>
      <c r="D33" s="38"/>
      <c r="E33" s="39">
        <f ca="1">OFFSET(E33,Drivers!$C$12,)</f>
        <v>0.13922407634501818</v>
      </c>
      <c r="F33" s="39">
        <f ca="1">OFFSET(F33,Drivers!$C$12,)</f>
        <v>0.14399824637814265</v>
      </c>
      <c r="G33" s="39">
        <f ca="1">OFFSET(G33,Drivers!$C$12,)</f>
        <v>0.14803302657380307</v>
      </c>
      <c r="H33" s="39">
        <f ca="1">OFFSET(H33,Drivers!$C$12,)</f>
        <v>0.14799999999999999</v>
      </c>
      <c r="I33" s="39">
        <f ca="1">OFFSET(I33,Drivers!$C$12,)</f>
        <v>0.15</v>
      </c>
      <c r="J33" s="39">
        <f ca="1">OFFSET(J33,Drivers!$C$12,)</f>
        <v>0.152</v>
      </c>
      <c r="K33" s="39">
        <f ca="1">OFFSET(K33,Drivers!$C$12,)</f>
        <v>0.153</v>
      </c>
      <c r="L33" s="39">
        <f ca="1">OFFSET(L33,Drivers!$C$12,)</f>
        <v>0.154</v>
      </c>
    </row>
    <row r="34" spans="3:14" ht="15.75" customHeight="1">
      <c r="C34" s="34">
        <f>Drivers!$C$13</f>
        <v>1</v>
      </c>
      <c r="D34" s="35" t="str">
        <f>Drivers!$D$13</f>
        <v>[Case 1]</v>
      </c>
      <c r="E34" s="42">
        <f>Model!E$11/Model!E$9</f>
        <v>0.13922407634501818</v>
      </c>
      <c r="F34" s="42">
        <f>Model!F$11/Model!F$9</f>
        <v>0.14399824637814265</v>
      </c>
      <c r="G34" s="42">
        <f>Model!H$11/Model!H$9</f>
        <v>0.14803302657380307</v>
      </c>
      <c r="H34" s="43">
        <v>0.152</v>
      </c>
      <c r="I34" s="43">
        <v>0.155</v>
      </c>
      <c r="J34" s="43">
        <v>0.16</v>
      </c>
      <c r="K34" s="43">
        <v>0.16300000000000001</v>
      </c>
      <c r="L34" s="43">
        <v>0.16500000000000001</v>
      </c>
      <c r="N34" t="s">
        <v>33</v>
      </c>
    </row>
    <row r="35" spans="3:14" ht="15.75" customHeight="1">
      <c r="C35" s="34">
        <f>Drivers!$C$14</f>
        <v>2</v>
      </c>
      <c r="D35" s="35" t="str">
        <f>Drivers!$D$14</f>
        <v>[Case 2]</v>
      </c>
      <c r="E35" s="42">
        <f>Model!E$11/Model!E$9</f>
        <v>0.13922407634501818</v>
      </c>
      <c r="F35" s="42">
        <f>Model!F$11/Model!F$9</f>
        <v>0.14399824637814265</v>
      </c>
      <c r="G35" s="42">
        <f>Model!H$11/Model!H$9</f>
        <v>0.14803302657380307</v>
      </c>
      <c r="H35" s="40">
        <v>0.14799999999999999</v>
      </c>
      <c r="I35" s="40">
        <v>0.15</v>
      </c>
      <c r="J35" s="40">
        <v>0.152</v>
      </c>
      <c r="K35" s="40">
        <v>0.153</v>
      </c>
      <c r="L35" s="40">
        <v>0.154</v>
      </c>
      <c r="N35" t="s">
        <v>34</v>
      </c>
    </row>
    <row r="36" spans="3:14" ht="15.75" customHeight="1">
      <c r="C36" s="34">
        <f>Drivers!$C$15</f>
        <v>3</v>
      </c>
      <c r="D36" s="35" t="str">
        <f>Drivers!$D$15</f>
        <v>[Case 3]</v>
      </c>
      <c r="E36" s="42">
        <f>Model!E$11/Model!E$9</f>
        <v>0.13922407634501818</v>
      </c>
      <c r="F36" s="42">
        <f>Model!F$11/Model!F$9</f>
        <v>0.14399824637814265</v>
      </c>
      <c r="G36" s="42">
        <f>Model!H$11/Model!H$9</f>
        <v>0.14803302657380307</v>
      </c>
      <c r="H36" s="40">
        <v>0.14299999999999999</v>
      </c>
      <c r="I36" s="40">
        <v>0.14499999999999999</v>
      </c>
      <c r="J36" s="40">
        <v>0.14599999999999999</v>
      </c>
      <c r="K36" s="40">
        <v>0.14799999999999999</v>
      </c>
      <c r="L36" s="40">
        <v>0.15</v>
      </c>
      <c r="N36" s="41" t="s">
        <v>35</v>
      </c>
    </row>
    <row r="37" spans="3:14" ht="15.75" customHeight="1">
      <c r="C37" s="34"/>
      <c r="D37" s="35"/>
      <c r="E37" s="36"/>
      <c r="F37" s="33"/>
      <c r="G37" s="33"/>
      <c r="H37" s="40"/>
      <c r="I37" s="40"/>
      <c r="J37" s="40"/>
      <c r="K37" s="40"/>
      <c r="L37" s="40"/>
    </row>
    <row r="38" spans="3:14" ht="15.75" customHeight="1">
      <c r="C38" s="37" t="s">
        <v>36</v>
      </c>
      <c r="D38" s="38"/>
      <c r="E38" s="39">
        <f ca="1">OFFSET(E38,Drivers!$C$12,)</f>
        <v>4.4434227630802729E-2</v>
      </c>
      <c r="F38" s="39">
        <f ca="1">OFFSET(F38,Drivers!$C$12,)</f>
        <v>4.8517125977223158E-2</v>
      </c>
      <c r="G38" s="39">
        <f ca="1">OFFSET(G38,Drivers!$C$12,)</f>
        <v>4.0858145930267847E-2</v>
      </c>
      <c r="H38" s="39">
        <f ca="1">OFFSET(H38,Drivers!$C$12,)</f>
        <v>4.1000000000000002E-2</v>
      </c>
      <c r="I38" s="39">
        <f ca="1">OFFSET(I38,Drivers!$C$12,)</f>
        <v>0.04</v>
      </c>
      <c r="J38" s="39">
        <f ca="1">OFFSET(J38,Drivers!$C$12,)</f>
        <v>0.04</v>
      </c>
      <c r="K38" s="39">
        <f ca="1">OFFSET(K38,Drivers!$C$12,)</f>
        <v>3.9E-2</v>
      </c>
      <c r="L38" s="39">
        <f ca="1">OFFSET(L38,Drivers!$C$12,)</f>
        <v>3.9E-2</v>
      </c>
    </row>
    <row r="39" spans="3:14" ht="15.75" customHeight="1">
      <c r="C39" s="34">
        <f>Drivers!$C$13</f>
        <v>1</v>
      </c>
      <c r="D39" s="35" t="str">
        <f>Drivers!$D$13</f>
        <v>[Case 1]</v>
      </c>
      <c r="E39" s="42">
        <f>-Model!E$13/Model!E$9</f>
        <v>4.4434227630802729E-2</v>
      </c>
      <c r="F39" s="42">
        <f>-Model!F$13/Model!F$9</f>
        <v>4.8517125977223158E-2</v>
      </c>
      <c r="G39" s="42">
        <f>-Model!H$13/Model!H$9</f>
        <v>4.0858145930267847E-2</v>
      </c>
      <c r="H39" s="43">
        <v>4.1000000000000002E-2</v>
      </c>
      <c r="I39" s="43">
        <v>0.04</v>
      </c>
      <c r="J39" s="43">
        <v>3.9E-2</v>
      </c>
      <c r="K39" s="43">
        <v>3.7999999999999999E-2</v>
      </c>
      <c r="L39" s="43">
        <v>3.6999999999999998E-2</v>
      </c>
      <c r="N39" t="s">
        <v>37</v>
      </c>
    </row>
    <row r="40" spans="3:14" ht="15.75" customHeight="1">
      <c r="C40" s="34">
        <f>Drivers!$C$14</f>
        <v>2</v>
      </c>
      <c r="D40" s="35" t="str">
        <f>Drivers!$D$14</f>
        <v>[Case 2]</v>
      </c>
      <c r="E40" s="42">
        <f>-Model!E$13/Model!E$9</f>
        <v>4.4434227630802729E-2</v>
      </c>
      <c r="F40" s="42">
        <f>-Model!F$13/Model!F$9</f>
        <v>4.8517125977223158E-2</v>
      </c>
      <c r="G40" s="42">
        <f>-Model!H$13/Model!H$9</f>
        <v>4.0858145930267847E-2</v>
      </c>
      <c r="H40" s="40">
        <v>4.1000000000000002E-2</v>
      </c>
      <c r="I40" s="40">
        <v>0.04</v>
      </c>
      <c r="J40" s="40">
        <v>0.04</v>
      </c>
      <c r="K40" s="40">
        <v>3.9E-2</v>
      </c>
      <c r="L40" s="40">
        <v>3.9E-2</v>
      </c>
      <c r="N40" t="s">
        <v>38</v>
      </c>
    </row>
    <row r="41" spans="3:14" ht="15.75" customHeight="1">
      <c r="C41" s="34">
        <f>Drivers!$C$15</f>
        <v>3</v>
      </c>
      <c r="D41" s="35" t="str">
        <f>Drivers!$D$15</f>
        <v>[Case 3]</v>
      </c>
      <c r="E41" s="42">
        <f>-Model!E$13/Model!E$9</f>
        <v>4.4434227630802729E-2</v>
      </c>
      <c r="F41" s="42">
        <f>-Model!F$13/Model!F$9</f>
        <v>4.8517125977223158E-2</v>
      </c>
      <c r="G41" s="42">
        <f>-Model!H$13/Model!H$9</f>
        <v>4.0858145930267847E-2</v>
      </c>
      <c r="H41" s="43">
        <v>4.2999999999999997E-2</v>
      </c>
      <c r="I41" s="43">
        <v>4.1000000000000002E-2</v>
      </c>
      <c r="J41" s="43">
        <v>4.1000000000000002E-2</v>
      </c>
      <c r="K41" s="43">
        <v>0.04</v>
      </c>
      <c r="L41" s="43">
        <v>0.04</v>
      </c>
      <c r="N41" t="s">
        <v>39</v>
      </c>
    </row>
    <row r="42" spans="3:14" ht="15.75" customHeight="1">
      <c r="C42" s="44"/>
      <c r="D42" s="44"/>
    </row>
    <row r="43" spans="3:14" ht="15.75" customHeight="1">
      <c r="C43" s="37" t="s">
        <v>40</v>
      </c>
      <c r="D43" s="38"/>
      <c r="E43" s="39">
        <f ca="1">OFFSET(E43,Drivers!$C$12,)</f>
        <v>7.8491892947841375</v>
      </c>
      <c r="F43" s="39">
        <f ca="1">OFFSET(F43,Drivers!$C$12,)</f>
        <v>0.86577296133664394</v>
      </c>
      <c r="G43" s="39">
        <f ca="1">OFFSET(G43,Drivers!$C$12,)</f>
        <v>0.26385759889186972</v>
      </c>
      <c r="H43" s="39">
        <f ca="1">OFFSET(H43,Drivers!$C$12,)</f>
        <v>0.3</v>
      </c>
      <c r="I43" s="39">
        <f ca="1">OFFSET(I43,Drivers!$C$12,)</f>
        <v>0.3</v>
      </c>
      <c r="J43" s="39">
        <f ca="1">OFFSET(J43,Drivers!$C$12,)</f>
        <v>0.3</v>
      </c>
      <c r="K43" s="39">
        <f ca="1">OFFSET(K43,Drivers!$C$12,)</f>
        <v>0.3</v>
      </c>
      <c r="L43" s="39">
        <f ca="1">OFFSET(L43,Drivers!$C$12,)</f>
        <v>0.3</v>
      </c>
    </row>
    <row r="44" spans="3:14" ht="15.75" customHeight="1">
      <c r="C44" s="34">
        <f>Drivers!$C$13</f>
        <v>1</v>
      </c>
      <c r="D44" s="35" t="str">
        <f>Drivers!$D$13</f>
        <v>[Case 1]</v>
      </c>
      <c r="E44" s="42">
        <f>-Model!E$23/Model!E$22</f>
        <v>7.8491892947841375</v>
      </c>
      <c r="F44" s="42">
        <f>-Model!F$23/Model!F$22</f>
        <v>0.86577296133664394</v>
      </c>
      <c r="G44" s="42">
        <f>-Model!H$23/Model!H$22</f>
        <v>0.26385759889186972</v>
      </c>
      <c r="H44" s="43">
        <v>0.3</v>
      </c>
      <c r="I44" s="43">
        <v>0.3</v>
      </c>
      <c r="J44" s="43">
        <v>0.3</v>
      </c>
      <c r="K44" s="43">
        <v>0.3</v>
      </c>
      <c r="L44" s="43">
        <v>0.3</v>
      </c>
      <c r="N44" t="s">
        <v>41</v>
      </c>
    </row>
    <row r="45" spans="3:14" ht="15.75" customHeight="1">
      <c r="C45" s="34">
        <f>Drivers!$C$14</f>
        <v>2</v>
      </c>
      <c r="D45" s="35" t="str">
        <f>Drivers!$D$14</f>
        <v>[Case 2]</v>
      </c>
      <c r="E45" s="42">
        <f>-Model!E$23/Model!E$22</f>
        <v>7.8491892947841375</v>
      </c>
      <c r="F45" s="42">
        <f>-Model!F$23/Model!F$22</f>
        <v>0.86577296133664394</v>
      </c>
      <c r="G45" s="42">
        <f>-Model!H$23/Model!H$22</f>
        <v>0.26385759889186972</v>
      </c>
      <c r="H45" s="43">
        <v>0.3</v>
      </c>
      <c r="I45" s="43">
        <v>0.3</v>
      </c>
      <c r="J45" s="43">
        <v>0.3</v>
      </c>
      <c r="K45" s="43">
        <v>0.3</v>
      </c>
      <c r="L45" s="43">
        <v>0.3</v>
      </c>
      <c r="N45" t="s">
        <v>42</v>
      </c>
    </row>
    <row r="46" spans="3:14" ht="15.75" customHeight="1">
      <c r="C46" s="34">
        <f>Drivers!$C$15</f>
        <v>3</v>
      </c>
      <c r="D46" s="35" t="str">
        <f>Drivers!$D$15</f>
        <v>[Case 3]</v>
      </c>
      <c r="E46" s="42">
        <f>-Model!E$23/Model!E$22</f>
        <v>7.8491892947841375</v>
      </c>
      <c r="F46" s="42">
        <f>-Model!F$23/Model!F$22</f>
        <v>0.86577296133664394</v>
      </c>
      <c r="G46" s="42">
        <f>-Model!H$23/Model!H$22</f>
        <v>0.26385759889186972</v>
      </c>
      <c r="H46" s="43">
        <v>0.3</v>
      </c>
      <c r="I46" s="43">
        <v>0.3</v>
      </c>
      <c r="J46" s="43">
        <v>0.3</v>
      </c>
      <c r="K46" s="43">
        <v>0.3</v>
      </c>
      <c r="L46" s="43">
        <v>0.3</v>
      </c>
    </row>
    <row r="47" spans="3:14" ht="15.75" customHeight="1">
      <c r="C47" s="34"/>
      <c r="D47" s="35"/>
      <c r="E47" s="36"/>
      <c r="F47" s="33"/>
      <c r="G47" s="33"/>
      <c r="H47" s="40"/>
      <c r="I47" s="40"/>
      <c r="J47" s="40"/>
      <c r="K47" s="40"/>
      <c r="L47" s="40"/>
    </row>
    <row r="48" spans="3:14" ht="15.75" customHeight="1">
      <c r="C48" s="37" t="s">
        <v>43</v>
      </c>
      <c r="D48" s="38"/>
      <c r="E48" s="39">
        <f ca="1">OFFSET(E48,Drivers!$C$12,)</f>
        <v>0.12295969306315364</v>
      </c>
      <c r="F48" s="39">
        <f ca="1">OFFSET(F48,Drivers!$C$12,)</f>
        <v>0.13185256533464043</v>
      </c>
      <c r="G48" s="39">
        <f ca="1">OFFSET(G48,Drivers!$C$12,)</f>
        <v>0.13330647804773807</v>
      </c>
      <c r="H48" s="39">
        <f ca="1">OFFSET(H48,Drivers!$C$12,)</f>
        <v>0.13</v>
      </c>
      <c r="I48" s="39">
        <f ca="1">OFFSET(I48,Drivers!$C$12,)</f>
        <v>0.13500000000000001</v>
      </c>
      <c r="J48" s="39">
        <f ca="1">OFFSET(J48,Drivers!$C$12,)</f>
        <v>0.14000000000000001</v>
      </c>
      <c r="K48" s="39">
        <f ca="1">OFFSET(K48,Drivers!$C$12,)</f>
        <v>0.14299999999999999</v>
      </c>
      <c r="L48" s="39">
        <f ca="1">OFFSET(L48,Drivers!$C$12,)</f>
        <v>0.14599999999999999</v>
      </c>
    </row>
    <row r="49" spans="3:14" ht="15.75" customHeight="1">
      <c r="C49" s="34">
        <f>Drivers!$C$13</f>
        <v>1</v>
      </c>
      <c r="D49" s="35" t="str">
        <f>Drivers!$D$13</f>
        <v>[Case 1]</v>
      </c>
      <c r="E49" s="45">
        <f>Model!E$37/Model!E$9</f>
        <v>0.12295969306315364</v>
      </c>
      <c r="F49" s="45">
        <f>Model!F$37/Model!F$9</f>
        <v>0.13185256533464043</v>
      </c>
      <c r="G49" s="45">
        <f>Model!H$37/Model!H$9</f>
        <v>0.13330647804773807</v>
      </c>
      <c r="H49" s="46">
        <v>0.13900000000000001</v>
      </c>
      <c r="I49" s="46">
        <v>0.14299999999999999</v>
      </c>
      <c r="J49" s="46">
        <v>0.14699999999999999</v>
      </c>
      <c r="K49" s="46">
        <v>0.15</v>
      </c>
      <c r="L49" s="46">
        <v>0.153</v>
      </c>
    </row>
    <row r="50" spans="3:14" ht="15.75" customHeight="1">
      <c r="C50" s="34">
        <f>Drivers!$C$14</f>
        <v>2</v>
      </c>
      <c r="D50" s="35" t="str">
        <f>Drivers!$D$14</f>
        <v>[Case 2]</v>
      </c>
      <c r="E50" s="45">
        <f>Model!E$37/Model!E$9</f>
        <v>0.12295969306315364</v>
      </c>
      <c r="F50" s="45">
        <f>Model!F$37/Model!F$9</f>
        <v>0.13185256533464043</v>
      </c>
      <c r="G50" s="45">
        <f>Model!H$37/Model!H$9</f>
        <v>0.13330647804773807</v>
      </c>
      <c r="H50" s="40">
        <v>0.13</v>
      </c>
      <c r="I50" s="40">
        <v>0.13500000000000001</v>
      </c>
      <c r="J50" s="40">
        <v>0.14000000000000001</v>
      </c>
      <c r="K50" s="40">
        <v>0.14299999999999999</v>
      </c>
      <c r="L50" s="40">
        <v>0.14599999999999999</v>
      </c>
      <c r="N50" t="s">
        <v>44</v>
      </c>
    </row>
    <row r="51" spans="3:14" ht="15.75" customHeight="1">
      <c r="C51" s="34">
        <f>Drivers!$C$15</f>
        <v>3</v>
      </c>
      <c r="D51" s="35" t="str">
        <f>Drivers!$D$15</f>
        <v>[Case 3]</v>
      </c>
      <c r="E51" s="45">
        <f>Model!E$37/Model!E$9</f>
        <v>0.12295969306315364</v>
      </c>
      <c r="F51" s="45">
        <f>Model!F$37/Model!F$9</f>
        <v>0.13185256533464043</v>
      </c>
      <c r="G51" s="45">
        <f>Model!H$37/Model!H$9</f>
        <v>0.13330647804773807</v>
      </c>
      <c r="H51" s="46">
        <v>0.11799999999999999</v>
      </c>
      <c r="I51" s="46">
        <v>0.125</v>
      </c>
      <c r="J51" s="46">
        <v>0.128</v>
      </c>
      <c r="K51" s="46">
        <v>0.13</v>
      </c>
      <c r="L51" s="46">
        <v>0.13</v>
      </c>
      <c r="N51" s="41" t="s">
        <v>45</v>
      </c>
    </row>
    <row r="52" spans="3:14" ht="15.75" customHeight="1">
      <c r="C52" s="34"/>
      <c r="D52" s="35"/>
      <c r="E52" s="36"/>
      <c r="F52" s="33"/>
      <c r="G52" s="33"/>
      <c r="H52" s="40"/>
      <c r="I52" s="40"/>
      <c r="J52" s="40"/>
      <c r="K52" s="40"/>
      <c r="L52" s="40"/>
    </row>
    <row r="53" spans="3:14" ht="15.75" customHeight="1">
      <c r="C53" s="37" t="s">
        <v>46</v>
      </c>
      <c r="D53" s="38"/>
      <c r="E53" s="47">
        <f ca="1">OFFSET(E53,Drivers!$C$12,)</f>
        <v>0</v>
      </c>
      <c r="F53" s="39">
        <f ca="1">OFFSET(F53,Drivers!$C$12,)</f>
        <v>0</v>
      </c>
      <c r="G53" s="39">
        <f ca="1">OFFSET(G53,Drivers!$C$12,)</f>
        <v>0</v>
      </c>
      <c r="H53" s="48">
        <f ca="1">OFFSET(H53,Drivers!$C$12,)</f>
        <v>0</v>
      </c>
      <c r="I53" s="48">
        <f ca="1">OFFSET(I53,Drivers!$C$12,)</f>
        <v>50000</v>
      </c>
      <c r="J53" s="48">
        <f ca="1">OFFSET(J53,Drivers!$C$12,)</f>
        <v>50000</v>
      </c>
      <c r="K53" s="48">
        <f ca="1">OFFSET(K53,Drivers!$C$12,)</f>
        <v>75000</v>
      </c>
      <c r="L53" s="48">
        <f ca="1">OFFSET(L53,Drivers!$C$12,)</f>
        <v>75000</v>
      </c>
    </row>
    <row r="54" spans="3:14" ht="15.75" customHeight="1">
      <c r="C54" s="34">
        <f>Drivers!$C$13</f>
        <v>1</v>
      </c>
      <c r="D54" s="35" t="str">
        <f>Drivers!$D$13</f>
        <v>[Case 1]</v>
      </c>
      <c r="E54" s="45"/>
      <c r="F54" s="45"/>
      <c r="G54" s="45"/>
      <c r="H54" s="49">
        <v>0</v>
      </c>
      <c r="I54" s="49">
        <v>75000</v>
      </c>
      <c r="J54" s="49">
        <v>75000</v>
      </c>
      <c r="K54" s="49">
        <v>100000</v>
      </c>
      <c r="L54" s="49">
        <v>100000</v>
      </c>
    </row>
    <row r="55" spans="3:14" ht="15.75" customHeight="1">
      <c r="C55" s="34">
        <f>Drivers!$C$14</f>
        <v>2</v>
      </c>
      <c r="D55" s="35" t="str">
        <f>Drivers!$D$14</f>
        <v>[Case 2]</v>
      </c>
      <c r="E55" s="36"/>
      <c r="F55" s="33"/>
      <c r="G55" s="33"/>
      <c r="H55" s="49">
        <v>0</v>
      </c>
      <c r="I55" s="49">
        <v>50000</v>
      </c>
      <c r="J55" s="49">
        <v>50000</v>
      </c>
      <c r="K55" s="49">
        <v>75000</v>
      </c>
      <c r="L55" s="49">
        <v>75000</v>
      </c>
      <c r="N55" t="s">
        <v>47</v>
      </c>
    </row>
    <row r="56" spans="3:14" ht="15.75" customHeight="1">
      <c r="C56" s="34">
        <f>Drivers!$C$15</f>
        <v>3</v>
      </c>
      <c r="D56" s="35" t="str">
        <f>Drivers!$D$15</f>
        <v>[Case 3]</v>
      </c>
      <c r="E56" s="36"/>
      <c r="F56" s="33"/>
      <c r="G56" s="33"/>
      <c r="H56" s="49">
        <v>0</v>
      </c>
      <c r="I56" s="49">
        <v>0</v>
      </c>
      <c r="J56" s="49">
        <v>0</v>
      </c>
      <c r="K56" s="49">
        <v>0</v>
      </c>
      <c r="L56" s="49">
        <v>0</v>
      </c>
      <c r="N56" s="41" t="s">
        <v>48</v>
      </c>
    </row>
    <row r="57" spans="3:14" ht="15.75" customHeight="1">
      <c r="C57" s="34"/>
      <c r="D57" s="35"/>
      <c r="E57" s="36"/>
      <c r="F57" s="33"/>
      <c r="G57" s="33"/>
      <c r="H57" s="40"/>
      <c r="I57" s="40"/>
      <c r="J57" s="40"/>
      <c r="K57" s="40"/>
      <c r="L57" s="40"/>
    </row>
    <row r="58" spans="3:14" ht="15.75" customHeight="1">
      <c r="C58" s="37" t="s">
        <v>49</v>
      </c>
      <c r="D58" s="38"/>
      <c r="E58" s="47">
        <f ca="1">OFFSET(E58,Drivers!$C$12,)</f>
        <v>0</v>
      </c>
      <c r="F58" s="39">
        <f ca="1">OFFSET(F58,Drivers!$C$12,)</f>
        <v>0</v>
      </c>
      <c r="G58" s="39">
        <f ca="1">OFFSET(G58,Drivers!$C$12,)</f>
        <v>0</v>
      </c>
      <c r="H58" s="48">
        <f ca="1">OFFSET(H58,Drivers!$C$12,)</f>
        <v>0</v>
      </c>
      <c r="I58" s="48">
        <f ca="1">OFFSET(I58,Drivers!$C$12,)</f>
        <v>0</v>
      </c>
      <c r="J58" s="48">
        <f ca="1">OFFSET(J58,Drivers!$C$12,)</f>
        <v>0</v>
      </c>
      <c r="K58" s="48">
        <f ca="1">OFFSET(K58,Drivers!$C$12,)</f>
        <v>0</v>
      </c>
      <c r="L58" s="48">
        <f ca="1">OFFSET(L58,Drivers!$C$12,)</f>
        <v>0</v>
      </c>
    </row>
    <row r="59" spans="3:14" ht="15.75" customHeight="1">
      <c r="C59" s="34">
        <f>Drivers!$C$13</f>
        <v>1</v>
      </c>
      <c r="D59" s="35" t="str">
        <f>Drivers!$D$13</f>
        <v>[Case 1]</v>
      </c>
      <c r="E59" s="45"/>
      <c r="F59" s="45"/>
      <c r="G59" s="45"/>
      <c r="H59" s="49">
        <v>0</v>
      </c>
      <c r="I59" s="49">
        <v>0</v>
      </c>
      <c r="J59" s="49">
        <v>0</v>
      </c>
      <c r="K59" s="49">
        <v>0</v>
      </c>
      <c r="L59" s="49">
        <v>0</v>
      </c>
    </row>
    <row r="60" spans="3:14" ht="15.75" customHeight="1">
      <c r="C60" s="34">
        <f>Drivers!$C$14</f>
        <v>2</v>
      </c>
      <c r="D60" s="35" t="str">
        <f>Drivers!$D$14</f>
        <v>[Case 2]</v>
      </c>
      <c r="E60" s="36"/>
      <c r="F60" s="33"/>
      <c r="G60" s="33"/>
      <c r="H60" s="49">
        <v>0</v>
      </c>
      <c r="I60" s="49">
        <v>0</v>
      </c>
      <c r="J60" s="49">
        <v>0</v>
      </c>
      <c r="K60" s="49">
        <v>0</v>
      </c>
      <c r="L60" s="49">
        <v>0</v>
      </c>
      <c r="N60" t="s">
        <v>50</v>
      </c>
    </row>
    <row r="61" spans="3:14" ht="15.75" customHeight="1">
      <c r="C61" s="34">
        <f>Drivers!$C$15</f>
        <v>3</v>
      </c>
      <c r="D61" s="35" t="str">
        <f>Drivers!$D$15</f>
        <v>[Case 3]</v>
      </c>
      <c r="E61" s="36"/>
      <c r="F61" s="33"/>
      <c r="G61" s="33"/>
      <c r="H61" s="49">
        <v>0</v>
      </c>
      <c r="I61" s="49">
        <v>0</v>
      </c>
      <c r="J61" s="49">
        <v>0</v>
      </c>
      <c r="K61" s="49">
        <v>0</v>
      </c>
      <c r="L61" s="49">
        <v>0</v>
      </c>
      <c r="N61" s="41" t="s">
        <v>51</v>
      </c>
    </row>
    <row r="62" spans="3:14" ht="15.75" customHeight="1">
      <c r="C62" s="34"/>
      <c r="D62" s="35"/>
      <c r="E62" s="36"/>
      <c r="F62" s="33"/>
      <c r="G62" s="33"/>
      <c r="H62" s="40"/>
      <c r="I62" s="40"/>
      <c r="J62" s="40"/>
      <c r="K62" s="40"/>
      <c r="L62" s="40"/>
    </row>
    <row r="63" spans="3:14" ht="15.75" customHeight="1">
      <c r="C63" s="37" t="s">
        <v>52</v>
      </c>
      <c r="D63" s="38"/>
      <c r="E63" s="47">
        <f ca="1">OFFSET(E63,Drivers!$C$12,)</f>
        <v>0</v>
      </c>
      <c r="F63" s="39">
        <f ca="1">OFFSET(F63,Drivers!$C$12,)</f>
        <v>0</v>
      </c>
      <c r="G63" s="39">
        <f ca="1">OFFSET(G63,Drivers!$C$12,)</f>
        <v>0</v>
      </c>
      <c r="H63" s="48">
        <f ca="1">OFFSET(H63,Drivers!$C$12,)</f>
        <v>45000</v>
      </c>
      <c r="I63" s="48">
        <f ca="1">OFFSET(I63,Drivers!$C$12,)</f>
        <v>45000</v>
      </c>
      <c r="J63" s="48">
        <f ca="1">OFFSET(J63,Drivers!$C$12,)</f>
        <v>100000</v>
      </c>
      <c r="K63" s="48">
        <f ca="1">OFFSET(K63,Drivers!$C$12,)</f>
        <v>140000</v>
      </c>
      <c r="L63" s="48">
        <f ca="1">OFFSET(L63,Drivers!$C$12,)</f>
        <v>185000</v>
      </c>
    </row>
    <row r="64" spans="3:14" ht="15.75" customHeight="1">
      <c r="C64" s="34">
        <f>Drivers!$C$13</f>
        <v>1</v>
      </c>
      <c r="D64" s="35" t="str">
        <f>Drivers!$D$13</f>
        <v>[Case 1]</v>
      </c>
      <c r="E64" s="45"/>
      <c r="F64" s="45"/>
      <c r="G64" s="45"/>
      <c r="H64" s="49">
        <v>47000</v>
      </c>
      <c r="I64" s="49">
        <v>50000</v>
      </c>
      <c r="J64" s="49">
        <v>110000</v>
      </c>
      <c r="K64" s="49">
        <v>200000</v>
      </c>
      <c r="L64" s="49">
        <v>350000</v>
      </c>
    </row>
    <row r="65" spans="3:14" ht="15.75" customHeight="1">
      <c r="C65" s="34">
        <f>Drivers!$C$14</f>
        <v>2</v>
      </c>
      <c r="D65" s="35" t="str">
        <f>Drivers!$D$14</f>
        <v>[Case 2]</v>
      </c>
      <c r="E65" s="36"/>
      <c r="F65" s="33"/>
      <c r="G65" s="33"/>
      <c r="H65" s="49">
        <v>45000</v>
      </c>
      <c r="I65" s="49">
        <v>45000</v>
      </c>
      <c r="J65" s="49">
        <v>100000</v>
      </c>
      <c r="K65" s="49">
        <v>140000</v>
      </c>
      <c r="L65" s="49">
        <v>185000</v>
      </c>
      <c r="N65" t="s">
        <v>53</v>
      </c>
    </row>
    <row r="66" spans="3:14" ht="15.75" customHeight="1">
      <c r="C66" s="34">
        <f>Drivers!$C$15</f>
        <v>3</v>
      </c>
      <c r="D66" s="35" t="str">
        <f>Drivers!$D$15</f>
        <v>[Case 3]</v>
      </c>
      <c r="E66" s="36"/>
      <c r="F66" s="33"/>
      <c r="G66" s="33"/>
      <c r="H66" s="49">
        <v>0</v>
      </c>
      <c r="I66" s="49">
        <v>0</v>
      </c>
      <c r="J66" s="49">
        <v>25000</v>
      </c>
      <c r="K66" s="49">
        <v>50000</v>
      </c>
      <c r="L66" s="49">
        <v>75000</v>
      </c>
    </row>
    <row r="69" spans="3:14" ht="15.75" customHeight="1">
      <c r="C69" s="50" t="s">
        <v>54</v>
      </c>
      <c r="D69" s="50"/>
      <c r="E69" s="50"/>
      <c r="F69" s="50"/>
      <c r="G69" s="50"/>
      <c r="H69" s="51">
        <f ca="1">H53</f>
        <v>0</v>
      </c>
      <c r="I69" s="51">
        <f ca="1">I53</f>
        <v>50000</v>
      </c>
      <c r="J69" s="51">
        <f ca="1">J53</f>
        <v>50000</v>
      </c>
      <c r="K69" s="51">
        <f ca="1">K53</f>
        <v>75000</v>
      </c>
      <c r="L69" s="51">
        <f ca="1">L53</f>
        <v>75000</v>
      </c>
    </row>
    <row r="70" spans="3:14" ht="15.75" customHeight="1">
      <c r="D70" s="52"/>
      <c r="E70" s="52"/>
      <c r="F70" s="52"/>
      <c r="G70" s="52"/>
    </row>
    <row r="71" spans="3:14" ht="15.75" customHeight="1">
      <c r="C71" s="52" t="s">
        <v>55</v>
      </c>
      <c r="D71" s="52"/>
      <c r="E71" s="52"/>
      <c r="F71" s="52"/>
      <c r="G71" s="52"/>
      <c r="H71" s="53">
        <v>1</v>
      </c>
      <c r="I71" s="53">
        <v>1</v>
      </c>
      <c r="J71" s="53">
        <v>1</v>
      </c>
      <c r="K71" s="53">
        <v>1</v>
      </c>
      <c r="L71" s="53">
        <v>1</v>
      </c>
    </row>
    <row r="72" spans="3:14" ht="15.75" customHeight="1">
      <c r="C72" s="52" t="s">
        <v>56</v>
      </c>
      <c r="D72" s="52"/>
      <c r="E72" s="52"/>
      <c r="F72" s="52"/>
      <c r="G72" s="52"/>
      <c r="H72" s="54">
        <f ca="1">H69*H71</f>
        <v>0</v>
      </c>
      <c r="I72" s="54">
        <f ca="1">I69*I71</f>
        <v>50000</v>
      </c>
      <c r="J72" s="54">
        <f ca="1">J69*J71</f>
        <v>50000</v>
      </c>
      <c r="K72" s="54">
        <f ca="1">K69*K71</f>
        <v>75000</v>
      </c>
      <c r="L72" s="54">
        <f ca="1">L69*L71</f>
        <v>75000</v>
      </c>
    </row>
    <row r="73" spans="3:14" ht="15.75" customHeight="1">
      <c r="C73" s="52"/>
      <c r="D73" s="52"/>
      <c r="E73" s="52"/>
      <c r="F73" s="52"/>
      <c r="G73" s="52"/>
      <c r="H73" s="52"/>
      <c r="I73" s="52"/>
      <c r="J73" s="52"/>
      <c r="K73" s="52"/>
      <c r="L73" s="52"/>
    </row>
    <row r="74" spans="3:14" ht="15.75" customHeight="1">
      <c r="C74" s="52" t="s">
        <v>57</v>
      </c>
      <c r="D74" s="52"/>
      <c r="E74" s="52"/>
      <c r="F74" s="52"/>
      <c r="G74" s="52"/>
      <c r="H74" s="55">
        <v>10</v>
      </c>
      <c r="I74" s="55">
        <v>10</v>
      </c>
      <c r="J74" s="55">
        <v>10</v>
      </c>
      <c r="K74" s="55">
        <v>10</v>
      </c>
      <c r="L74" s="55">
        <v>10</v>
      </c>
    </row>
    <row r="75" spans="3:14" ht="15.75" customHeight="1">
      <c r="C75" s="52" t="s">
        <v>58</v>
      </c>
      <c r="D75" s="52"/>
      <c r="E75" s="52"/>
      <c r="F75" s="52"/>
      <c r="G75" s="52"/>
      <c r="H75" s="54">
        <f ca="1">H72/H74</f>
        <v>0</v>
      </c>
      <c r="I75" s="54">
        <f ca="1">I72/I74</f>
        <v>5000</v>
      </c>
      <c r="J75" s="54">
        <f ca="1">J72/J74</f>
        <v>5000</v>
      </c>
      <c r="K75" s="54">
        <f ca="1">K72/K74</f>
        <v>7500</v>
      </c>
      <c r="L75" s="54">
        <f ca="1">L72/L74</f>
        <v>7500</v>
      </c>
    </row>
    <row r="76" spans="3:14" ht="15.75" customHeight="1">
      <c r="C76" s="52"/>
      <c r="D76" s="52"/>
      <c r="E76" s="52"/>
      <c r="F76" s="52"/>
      <c r="G76" s="52"/>
      <c r="H76" s="52"/>
      <c r="I76" s="52"/>
      <c r="J76" s="52"/>
      <c r="K76" s="52"/>
      <c r="L76" s="52"/>
    </row>
    <row r="77" spans="3:14" ht="15.75" customHeight="1">
      <c r="C77" s="52" t="s">
        <v>59</v>
      </c>
      <c r="D77" s="52"/>
      <c r="E77" s="52"/>
      <c r="F77" s="52"/>
      <c r="G77" s="52"/>
      <c r="H77" s="52">
        <v>0</v>
      </c>
      <c r="I77" s="56">
        <f ca="1">IFERROR(I69/I78,0)</f>
        <v>6.666666666666667</v>
      </c>
      <c r="J77" s="56">
        <f ca="1">IFERROR(J69/J78,0)</f>
        <v>6.666666666666667</v>
      </c>
      <c r="K77" s="56">
        <f ca="1">IFERROR(K69/K78,0)</f>
        <v>6.666666666666667</v>
      </c>
      <c r="L77" s="56">
        <f ca="1">IFERROR(L69/L78,0)</f>
        <v>6.666666666666667</v>
      </c>
    </row>
    <row r="78" spans="3:14" ht="15.75" customHeight="1">
      <c r="C78" s="52" t="s">
        <v>60</v>
      </c>
      <c r="D78" s="52"/>
      <c r="E78" s="52"/>
      <c r="F78" s="52"/>
      <c r="G78" s="52"/>
      <c r="H78" s="54">
        <f ca="1">H75*1.5</f>
        <v>0</v>
      </c>
      <c r="I78" s="54">
        <f ca="1">I75*1.5</f>
        <v>7500</v>
      </c>
      <c r="J78" s="54">
        <f ca="1">J75*1.5</f>
        <v>7500</v>
      </c>
      <c r="K78" s="54">
        <f ca="1">K75*1.5</f>
        <v>11250</v>
      </c>
      <c r="L78" s="54">
        <f ca="1">L75*1.5</f>
        <v>11250</v>
      </c>
    </row>
  </sheetData>
  <conditionalFormatting sqref="C42:D42">
    <cfRule type="expression" dxfId="9" priority="2">
      <formula>#REF!=$E42</formula>
    </cfRule>
  </conditionalFormatting>
  <dataValidations count="1">
    <dataValidation type="list" allowBlank="1" showInputMessage="1" showErrorMessage="1" sqref="C3:D3" xr:uid="{00000000-0002-0000-0000-000000000000}">
      <formula1>"$ bns except per share,$ mm except per share,$ in thousands except per share"</formula1>
      <formula2>0</formula2>
    </dataValidation>
  </dataValidations>
  <pageMargins left="0.7" right="0.7" top="0.75" bottom="0.75" header="0.511811023622047" footer="0.511811023622047"/>
  <pageSetup paperSize="9" fitToHeight="5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R277"/>
  <sheetViews>
    <sheetView showGridLines="0" zoomScale="107" zoomScaleNormal="107" workbookViewId="0">
      <selection activeCell="P16" sqref="P16"/>
    </sheetView>
  </sheetViews>
  <sheetFormatPr baseColWidth="10" defaultColWidth="11" defaultRowHeight="16"/>
  <cols>
    <col min="1" max="1" width="2.5" customWidth="1"/>
    <col min="2" max="2" width="2.1640625" customWidth="1"/>
    <col min="3" max="3" width="26.1640625" customWidth="1"/>
    <col min="4" max="4" width="15.33203125" customWidth="1"/>
    <col min="5" max="5" width="14.1640625" customWidth="1"/>
    <col min="6" max="6" width="14.33203125" customWidth="1"/>
    <col min="7" max="7" width="10.83203125" hidden="1" customWidth="1"/>
    <col min="8" max="8" width="14.5" customWidth="1"/>
    <col min="9" max="9" width="12.5" customWidth="1"/>
    <col min="10" max="10" width="14.5" customWidth="1"/>
    <col min="12" max="12" width="15" customWidth="1"/>
    <col min="14" max="14" width="2.1640625" customWidth="1"/>
  </cols>
  <sheetData>
    <row r="2" spans="2:17" ht="15.75" customHeight="1">
      <c r="B2" t="s">
        <v>0</v>
      </c>
      <c r="C2" s="57" t="s">
        <v>61</v>
      </c>
      <c r="D2" s="57"/>
      <c r="E2" s="6"/>
      <c r="F2" s="6"/>
      <c r="G2" s="6"/>
      <c r="H2" s="6"/>
      <c r="J2" s="6"/>
      <c r="K2" s="6"/>
      <c r="L2" s="6"/>
      <c r="M2" s="6"/>
    </row>
    <row r="3" spans="2:17" ht="15.75" customHeight="1">
      <c r="C3" t="s">
        <v>22</v>
      </c>
      <c r="E3" s="58">
        <f>F3-1</f>
        <v>2023</v>
      </c>
      <c r="F3" s="58">
        <f>H3-1</f>
        <v>2024</v>
      </c>
      <c r="G3" s="58"/>
      <c r="H3" s="58">
        <f>YEAR(Drivers!D9)</f>
        <v>2025</v>
      </c>
      <c r="I3" s="29">
        <f>H3+1</f>
        <v>2026</v>
      </c>
      <c r="J3" s="59">
        <f>I3+1</f>
        <v>2027</v>
      </c>
      <c r="K3" s="59">
        <f>J3+1</f>
        <v>2028</v>
      </c>
      <c r="L3" s="59">
        <f>K3+1</f>
        <v>2029</v>
      </c>
      <c r="M3" s="59">
        <f>L3+1</f>
        <v>2030</v>
      </c>
    </row>
    <row r="4" spans="2:17" ht="15.75" customHeight="1">
      <c r="C4" s="30" t="s">
        <v>23</v>
      </c>
      <c r="D4" s="30"/>
      <c r="E4" s="31">
        <f>EOMONTH(F4,-12)</f>
        <v>45291</v>
      </c>
      <c r="F4" s="31">
        <f>EOMONTH(H4,-12)</f>
        <v>45657</v>
      </c>
      <c r="G4" s="31"/>
      <c r="H4" s="31">
        <f>Drivers!D9</f>
        <v>46022</v>
      </c>
      <c r="I4" s="31">
        <f>EOMONTH(H4,12)</f>
        <v>46387</v>
      </c>
      <c r="J4" s="31">
        <f>EOMONTH(I4,12)</f>
        <v>46752</v>
      </c>
      <c r="K4" s="31">
        <f>EOMONTH(J4,12)</f>
        <v>47118</v>
      </c>
      <c r="L4" s="31">
        <f>EOMONTH(K4,12)</f>
        <v>47483</v>
      </c>
      <c r="M4" s="31">
        <f>EOMONTH(L4,12)</f>
        <v>47848</v>
      </c>
      <c r="O4" s="57" t="s">
        <v>2</v>
      </c>
      <c r="P4" s="6"/>
      <c r="Q4" s="6"/>
    </row>
    <row r="5" spans="2:17" ht="15.75" customHeight="1">
      <c r="C5" s="60"/>
      <c r="D5" s="60"/>
      <c r="E5" s="61"/>
      <c r="F5" s="62"/>
      <c r="G5" s="62"/>
      <c r="H5" s="62"/>
      <c r="I5" s="63"/>
      <c r="J5" s="64"/>
      <c r="K5" s="64"/>
      <c r="L5" s="62"/>
      <c r="M5" s="62"/>
    </row>
    <row r="6" spans="2:17" ht="15.75" customHeight="1">
      <c r="C6" s="32" t="s">
        <v>62</v>
      </c>
      <c r="D6" s="32"/>
      <c r="E6" s="65">
        <v>4049868</v>
      </c>
      <c r="F6" s="65">
        <v>4644739</v>
      </c>
      <c r="G6" s="65"/>
      <c r="H6" s="65">
        <v>5353952</v>
      </c>
      <c r="I6" s="66">
        <f ca="1">H6*(1+Drivers!H23)</f>
        <v>5996426.2400000002</v>
      </c>
      <c r="J6" s="66">
        <f ca="1">I6*(1+Drivers!I23)</f>
        <v>6775961.6511999993</v>
      </c>
      <c r="K6" s="66">
        <f ca="1">J6*(1+Drivers!J23)</f>
        <v>7521317.4328319998</v>
      </c>
      <c r="L6" s="66">
        <f ca="1">K6*(1+Drivers!K23)</f>
        <v>8273449.1761152009</v>
      </c>
      <c r="M6" s="66">
        <f ca="1">L6*(1+Drivers!L23)</f>
        <v>8935325.1102044173</v>
      </c>
    </row>
    <row r="7" spans="2:17" ht="15.75" customHeight="1">
      <c r="C7" s="32" t="s">
        <v>63</v>
      </c>
      <c r="D7" s="32"/>
      <c r="E7" s="65">
        <v>513416</v>
      </c>
      <c r="F7" s="65">
        <v>592422</v>
      </c>
      <c r="G7" s="65"/>
      <c r="H7" s="65">
        <v>708560</v>
      </c>
      <c r="I7" s="66">
        <f ca="1">H7*(1+Drivers!H28)</f>
        <v>821929.6</v>
      </c>
      <c r="J7" s="66">
        <f ca="1">I7*(1+Drivers!I28)</f>
        <v>945219.03999999992</v>
      </c>
      <c r="K7" s="66">
        <f ca="1">J7*(1+Drivers!J28)</f>
        <v>1087001.8959999997</v>
      </c>
      <c r="L7" s="66">
        <f ca="1">K7*(1+Drivers!K28)</f>
        <v>1239182.1614399997</v>
      </c>
      <c r="M7" s="66">
        <f ca="1">L7*(1+Drivers!L28)</f>
        <v>1400275.8424271995</v>
      </c>
    </row>
    <row r="8" spans="2:17" ht="15.75" customHeight="1">
      <c r="C8" s="32" t="s">
        <v>64</v>
      </c>
      <c r="D8" s="32"/>
      <c r="E8" s="65">
        <v>0</v>
      </c>
      <c r="F8" s="65">
        <v>0</v>
      </c>
      <c r="G8" s="65"/>
      <c r="H8" s="65">
        <v>0</v>
      </c>
      <c r="I8" s="66">
        <f ca="1">I260</f>
        <v>0</v>
      </c>
      <c r="J8" s="66">
        <f ca="1">J260</f>
        <v>25000</v>
      </c>
      <c r="K8" s="66">
        <f ca="1">K260</f>
        <v>78000</v>
      </c>
      <c r="L8" s="66">
        <f ca="1">L260</f>
        <v>146680</v>
      </c>
      <c r="M8" s="66">
        <f ca="1">M260</f>
        <v>232730.8</v>
      </c>
    </row>
    <row r="9" spans="2:17" ht="15.75" customHeight="1">
      <c r="C9" s="25" t="s">
        <v>65</v>
      </c>
      <c r="D9" s="25"/>
      <c r="E9" s="67">
        <f t="shared" ref="E9:M9" si="0">SUM(E6:E8)</f>
        <v>4563284</v>
      </c>
      <c r="F9" s="67">
        <f t="shared" si="0"/>
        <v>5237161</v>
      </c>
      <c r="G9" s="67">
        <f t="shared" si="0"/>
        <v>0</v>
      </c>
      <c r="H9" s="67">
        <f t="shared" si="0"/>
        <v>6062512</v>
      </c>
      <c r="I9" s="67">
        <f t="shared" ca="1" si="0"/>
        <v>6818355.8399999999</v>
      </c>
      <c r="J9" s="67">
        <f t="shared" ca="1" si="0"/>
        <v>7746180.6911999993</v>
      </c>
      <c r="K9" s="67">
        <f t="shared" ca="1" si="0"/>
        <v>8686319.3288320005</v>
      </c>
      <c r="L9" s="67">
        <f t="shared" ca="1" si="0"/>
        <v>9659311.3375551999</v>
      </c>
      <c r="M9" s="67">
        <f t="shared" ca="1" si="0"/>
        <v>10568331.752631618</v>
      </c>
    </row>
    <row r="10" spans="2:17" ht="15.75" customHeight="1">
      <c r="C10" s="68" t="s">
        <v>66</v>
      </c>
      <c r="D10" s="68"/>
      <c r="E10" s="67">
        <v>-3927965</v>
      </c>
      <c r="F10" s="67">
        <v>-4483019</v>
      </c>
      <c r="G10" s="67"/>
      <c r="H10" s="67">
        <v>-5165060</v>
      </c>
      <c r="I10" s="69">
        <f ca="1">I11-I9</f>
        <v>-5809239.1756800003</v>
      </c>
      <c r="J10" s="69">
        <f ca="1">J11-J9</f>
        <v>-6584253.5875199996</v>
      </c>
      <c r="K10" s="69">
        <f ca="1">K11-K9</f>
        <v>-7365998.7908495367</v>
      </c>
      <c r="L10" s="69">
        <f ca="1">L11-L9</f>
        <v>-8181436.7029092545</v>
      </c>
      <c r="M10" s="69">
        <f ca="1">M11-M9</f>
        <v>-8940808.6627263483</v>
      </c>
    </row>
    <row r="11" spans="2:17" ht="15.75" customHeight="1">
      <c r="C11" s="25" t="s">
        <v>67</v>
      </c>
      <c r="D11" s="25"/>
      <c r="E11" s="70">
        <f>SUM(E9:E10)</f>
        <v>635319</v>
      </c>
      <c r="F11" s="70">
        <f>SUM(F9:F10)</f>
        <v>754142</v>
      </c>
      <c r="G11" s="70"/>
      <c r="H11" s="70">
        <f>SUM(H9:H10)</f>
        <v>897452</v>
      </c>
      <c r="I11" s="71">
        <f ca="1">I9*Drivers!H33</f>
        <v>1009116.66432</v>
      </c>
      <c r="J11" s="71">
        <f ca="1">J9*Drivers!I33</f>
        <v>1161927.1036799999</v>
      </c>
      <c r="K11" s="71">
        <f ca="1">K9*Drivers!J33</f>
        <v>1320320.5379824641</v>
      </c>
      <c r="L11" s="71">
        <f ca="1">L9*Drivers!K33</f>
        <v>1477874.6346459456</v>
      </c>
      <c r="M11" s="71">
        <f ca="1">M9*Drivers!L33</f>
        <v>1627523.0899052692</v>
      </c>
    </row>
    <row r="12" spans="2:17" ht="15.75" customHeight="1">
      <c r="C12" s="68" t="s">
        <v>68</v>
      </c>
      <c r="D12" s="68"/>
      <c r="E12" s="67">
        <v>-93681</v>
      </c>
      <c r="F12" s="67">
        <v>-95457</v>
      </c>
      <c r="G12" s="67"/>
      <c r="H12" s="67">
        <v>-98681</v>
      </c>
      <c r="I12" s="67">
        <f>-I127*0.7516</f>
        <v>-91261.526800000007</v>
      </c>
      <c r="J12" s="67">
        <f>-J127*0.7516</f>
        <v>-83538.836800000005</v>
      </c>
      <c r="K12" s="67">
        <f>-K127*0.7516</f>
        <v>-82367.092400000009</v>
      </c>
      <c r="L12" s="67">
        <f>-L127*0.7516</f>
        <v>-79979.2592</v>
      </c>
      <c r="M12" s="67">
        <f>-M127*0.7516</f>
        <v>-79200.601600000009</v>
      </c>
      <c r="O12" t="s">
        <v>69</v>
      </c>
    </row>
    <row r="13" spans="2:17" ht="15.75" customHeight="1">
      <c r="C13" s="68" t="s">
        <v>70</v>
      </c>
      <c r="D13" s="68"/>
      <c r="E13" s="67">
        <v>-202766</v>
      </c>
      <c r="F13" s="67">
        <v>-254092</v>
      </c>
      <c r="G13" s="67"/>
      <c r="H13" s="67">
        <v>-247703</v>
      </c>
      <c r="I13" s="69">
        <f ca="1">-I9*Drivers!H38</f>
        <v>-279552.58944000001</v>
      </c>
      <c r="J13" s="69">
        <f ca="1">-J9*Drivers!I38</f>
        <v>-309847.227648</v>
      </c>
      <c r="K13" s="69">
        <f ca="1">-K9*Drivers!J38</f>
        <v>-347452.77315328002</v>
      </c>
      <c r="L13" s="69">
        <f ca="1">-L9*Drivers!K38</f>
        <v>-376713.14216465282</v>
      </c>
      <c r="M13" s="69">
        <f ca="1">-M9*Drivers!L38</f>
        <v>-412164.93835263309</v>
      </c>
    </row>
    <row r="14" spans="2:17" ht="15.75" customHeight="1">
      <c r="C14" s="68" t="s">
        <v>71</v>
      </c>
      <c r="D14" s="68"/>
      <c r="E14" s="67">
        <v>-1514</v>
      </c>
      <c r="F14" s="67">
        <v>-1374</v>
      </c>
      <c r="G14" s="67"/>
      <c r="H14" s="67">
        <v>0</v>
      </c>
      <c r="I14" s="69">
        <f>H14</f>
        <v>0</v>
      </c>
      <c r="J14" s="69">
        <f>I14</f>
        <v>0</v>
      </c>
      <c r="K14" s="69">
        <f>J14</f>
        <v>0</v>
      </c>
      <c r="L14" s="69">
        <f>K14</f>
        <v>0</v>
      </c>
      <c r="M14" s="69">
        <f>L14</f>
        <v>0</v>
      </c>
    </row>
    <row r="15" spans="2:17" ht="15.75" customHeight="1">
      <c r="C15" s="25" t="s">
        <v>72</v>
      </c>
      <c r="D15" s="25"/>
      <c r="E15" s="70">
        <f>SUM(E11:E14)</f>
        <v>337358</v>
      </c>
      <c r="F15" s="70">
        <f>SUM(F11:F14)</f>
        <v>403219</v>
      </c>
      <c r="G15" s="70"/>
      <c r="H15" s="70">
        <f t="shared" ref="H15:M15" si="1">SUM(H11:H14)</f>
        <v>551068</v>
      </c>
      <c r="I15" s="71">
        <f t="shared" ca="1" si="1"/>
        <v>638302.54807999998</v>
      </c>
      <c r="J15" s="71">
        <f t="shared" ca="1" si="1"/>
        <v>768541.03923200001</v>
      </c>
      <c r="K15" s="71">
        <f t="shared" ca="1" si="1"/>
        <v>890500.67242918408</v>
      </c>
      <c r="L15" s="71">
        <f t="shared" ca="1" si="1"/>
        <v>1021182.2332812928</v>
      </c>
      <c r="M15" s="71">
        <f t="shared" ca="1" si="1"/>
        <v>1136157.5499526362</v>
      </c>
      <c r="O15" s="72"/>
    </row>
    <row r="16" spans="2:17" ht="15.75" customHeight="1">
      <c r="C16" s="68" t="s">
        <v>73</v>
      </c>
      <c r="D16" s="68"/>
      <c r="E16" s="67">
        <v>0</v>
      </c>
      <c r="F16" s="67">
        <v>0</v>
      </c>
      <c r="G16" s="67"/>
      <c r="H16" s="67">
        <v>0</v>
      </c>
      <c r="I16" s="69">
        <f ca="1">I172</f>
        <v>0</v>
      </c>
      <c r="J16" s="69">
        <f ca="1">J172</f>
        <v>0</v>
      </c>
      <c r="K16" s="69">
        <f ca="1">K172</f>
        <v>0</v>
      </c>
      <c r="L16" s="69">
        <f ca="1">L172</f>
        <v>0</v>
      </c>
      <c r="M16" s="69">
        <f ca="1">M172</f>
        <v>0</v>
      </c>
    </row>
    <row r="17" spans="3:16" ht="15.75" customHeight="1">
      <c r="C17" s="68" t="s">
        <v>74</v>
      </c>
      <c r="D17" s="68"/>
      <c r="E17" s="67">
        <v>-309645</v>
      </c>
      <c r="F17" s="67">
        <v>-282507</v>
      </c>
      <c r="G17" s="67"/>
      <c r="H17" s="67">
        <v>-174217</v>
      </c>
      <c r="I17" s="69">
        <f ca="1">I159</f>
        <v>-427448.47283030732</v>
      </c>
      <c r="J17" s="69">
        <f ca="1">J159</f>
        <v>-421783.22536661889</v>
      </c>
      <c r="K17" s="69">
        <f ca="1">K159</f>
        <v>-413288.20876306971</v>
      </c>
      <c r="L17" s="69">
        <f ca="1">L159</f>
        <v>-400676.56062241644</v>
      </c>
      <c r="M17" s="69">
        <f ca="1">M159</f>
        <v>-385353.39278474363</v>
      </c>
    </row>
    <row r="18" spans="3:16" ht="15.75" customHeight="1">
      <c r="C18" s="68" t="s">
        <v>75</v>
      </c>
      <c r="D18" s="68"/>
      <c r="E18" s="67">
        <v>0</v>
      </c>
      <c r="F18" s="67">
        <v>0</v>
      </c>
      <c r="G18" s="67"/>
      <c r="H18" s="67">
        <v>0</v>
      </c>
      <c r="I18" s="69">
        <f>-I231</f>
        <v>-17340.423286537691</v>
      </c>
      <c r="J18" s="69">
        <f>-J231</f>
        <v>-17340.423286537691</v>
      </c>
      <c r="K18" s="69">
        <f>-K231</f>
        <v>-17340.423286537691</v>
      </c>
      <c r="L18" s="69">
        <f>-L231</f>
        <v>-17340.423286537691</v>
      </c>
      <c r="M18" s="69">
        <f>-M231</f>
        <v>-17340.423286537691</v>
      </c>
    </row>
    <row r="19" spans="3:16" ht="15.75" customHeight="1">
      <c r="C19" s="68" t="s">
        <v>76</v>
      </c>
      <c r="D19" s="68"/>
      <c r="E19" s="67">
        <v>-19921</v>
      </c>
      <c r="F19" s="67">
        <v>-23700</v>
      </c>
      <c r="G19" s="67"/>
      <c r="H19" s="67">
        <v>0</v>
      </c>
      <c r="I19" s="69">
        <f t="shared" ref="I19:M20" si="2">H19</f>
        <v>0</v>
      </c>
      <c r="J19" s="69">
        <f t="shared" si="2"/>
        <v>0</v>
      </c>
      <c r="K19" s="69">
        <f t="shared" si="2"/>
        <v>0</v>
      </c>
      <c r="L19" s="69">
        <f t="shared" si="2"/>
        <v>0</v>
      </c>
      <c r="M19" s="69">
        <f t="shared" si="2"/>
        <v>0</v>
      </c>
    </row>
    <row r="20" spans="3:16" ht="15.75" customHeight="1">
      <c r="C20" s="68" t="s">
        <v>77</v>
      </c>
      <c r="D20" s="68"/>
      <c r="E20" s="67">
        <v>-6182</v>
      </c>
      <c r="F20" s="67">
        <v>-15255</v>
      </c>
      <c r="G20" s="67"/>
      <c r="H20" s="67">
        <v>0</v>
      </c>
      <c r="I20" s="69">
        <f t="shared" si="2"/>
        <v>0</v>
      </c>
      <c r="J20" s="69">
        <f t="shared" si="2"/>
        <v>0</v>
      </c>
      <c r="K20" s="69">
        <f t="shared" si="2"/>
        <v>0</v>
      </c>
      <c r="L20" s="69">
        <f t="shared" si="2"/>
        <v>0</v>
      </c>
      <c r="M20" s="69">
        <f t="shared" si="2"/>
        <v>0</v>
      </c>
    </row>
    <row r="21" spans="3:16" ht="15.75" customHeight="1">
      <c r="C21" s="68" t="s">
        <v>78</v>
      </c>
      <c r="D21" s="68"/>
      <c r="E21" s="67">
        <v>3509</v>
      </c>
      <c r="F21" s="67">
        <v>0</v>
      </c>
      <c r="G21" s="67"/>
      <c r="H21" s="67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</row>
    <row r="22" spans="3:16" ht="15.75" customHeight="1">
      <c r="C22" s="25" t="s">
        <v>79</v>
      </c>
      <c r="D22" s="25"/>
      <c r="E22" s="70">
        <f>SUM(E15:E21)</f>
        <v>5119</v>
      </c>
      <c r="F22" s="70">
        <f>SUM(F15:F21)</f>
        <v>81757</v>
      </c>
      <c r="G22" s="70"/>
      <c r="H22" s="70">
        <f t="shared" ref="H22:M22" si="3">SUM(H15:H21)</f>
        <v>376851</v>
      </c>
      <c r="I22" s="71">
        <f t="shared" ca="1" si="3"/>
        <v>193513.65196315496</v>
      </c>
      <c r="J22" s="71">
        <f t="shared" ca="1" si="3"/>
        <v>329417.39057884342</v>
      </c>
      <c r="K22" s="71">
        <f t="shared" ca="1" si="3"/>
        <v>459872.04037957668</v>
      </c>
      <c r="L22" s="71">
        <f t="shared" ca="1" si="3"/>
        <v>603165.24937233876</v>
      </c>
      <c r="M22" s="71">
        <f t="shared" ca="1" si="3"/>
        <v>733463.73388135503</v>
      </c>
      <c r="O22" s="72"/>
      <c r="P22" s="72"/>
    </row>
    <row r="23" spans="3:16" ht="15.75" customHeight="1">
      <c r="C23" s="68" t="s">
        <v>80</v>
      </c>
      <c r="D23" s="68"/>
      <c r="E23" s="67">
        <v>-40180</v>
      </c>
      <c r="F23" s="67">
        <v>-70783</v>
      </c>
      <c r="G23" s="67"/>
      <c r="H23" s="67">
        <v>-99435</v>
      </c>
      <c r="I23" s="69">
        <f ca="1">-I22*Drivers!H43</f>
        <v>-58054.095588946489</v>
      </c>
      <c r="J23" s="69">
        <f ca="1">-J22*Drivers!I43</f>
        <v>-98825.217173653029</v>
      </c>
      <c r="K23" s="69">
        <f ca="1">-K22*Drivers!J43</f>
        <v>-137961.61211387301</v>
      </c>
      <c r="L23" s="69">
        <f ca="1">-L22*Drivers!K43</f>
        <v>-180949.57481170163</v>
      </c>
      <c r="M23" s="69">
        <f ca="1">-M22*Drivers!L43</f>
        <v>-220039.12016440651</v>
      </c>
    </row>
    <row r="24" spans="3:16" ht="15.75" customHeight="1">
      <c r="C24" s="25" t="s">
        <v>81</v>
      </c>
      <c r="D24" s="25"/>
      <c r="E24" s="70">
        <f>SUM(E22:E23)</f>
        <v>-35061</v>
      </c>
      <c r="F24" s="70">
        <f>SUM(F22:F23)</f>
        <v>10974</v>
      </c>
      <c r="G24" s="70"/>
      <c r="H24" s="70">
        <f t="shared" ref="H24:M24" si="4">SUM(H22:H23)</f>
        <v>277416</v>
      </c>
      <c r="I24" s="71">
        <f t="shared" ca="1" si="4"/>
        <v>135459.55637420848</v>
      </c>
      <c r="J24" s="71">
        <f t="shared" ca="1" si="4"/>
        <v>230592.17340519041</v>
      </c>
      <c r="K24" s="71">
        <f t="shared" ca="1" si="4"/>
        <v>321910.42826570367</v>
      </c>
      <c r="L24" s="71">
        <f t="shared" ca="1" si="4"/>
        <v>422215.6745606371</v>
      </c>
      <c r="M24" s="71">
        <f t="shared" ca="1" si="4"/>
        <v>513424.61371694854</v>
      </c>
      <c r="O24" s="72"/>
    </row>
    <row r="25" spans="3:16" ht="15.75" customHeight="1">
      <c r="C25" s="73" t="s">
        <v>82</v>
      </c>
      <c r="D25" s="73"/>
      <c r="E25" s="67">
        <v>197104</v>
      </c>
      <c r="F25" s="67">
        <v>188164</v>
      </c>
      <c r="G25" s="67"/>
      <c r="H25" s="67">
        <v>193664</v>
      </c>
      <c r="I25" s="69">
        <f ca="1">I129</f>
        <v>191602.72160978816</v>
      </c>
      <c r="J25" s="69">
        <f ca="1">J129</f>
        <v>190877.603031034</v>
      </c>
      <c r="K25" s="69">
        <f ca="1">K129</f>
        <v>198995.22733928062</v>
      </c>
      <c r="L25" s="69">
        <f ca="1">L129</f>
        <v>205833.00361425173</v>
      </c>
      <c r="M25" s="69">
        <f ca="1">M129</f>
        <v>214153.33542864953</v>
      </c>
    </row>
    <row r="26" spans="3:16" ht="15.75" customHeight="1">
      <c r="C26" s="74" t="s">
        <v>83</v>
      </c>
      <c r="D26" s="74"/>
      <c r="E26" s="70">
        <f>E15+E25</f>
        <v>534462</v>
      </c>
      <c r="F26" s="70">
        <f>F15+F25</f>
        <v>591383</v>
      </c>
      <c r="G26" s="70"/>
      <c r="H26" s="70">
        <f t="shared" ref="H26:M26" si="5">H15+H25</f>
        <v>744732</v>
      </c>
      <c r="I26" s="71">
        <f t="shared" ca="1" si="5"/>
        <v>829905.26968978811</v>
      </c>
      <c r="J26" s="71">
        <f t="shared" ca="1" si="5"/>
        <v>959418.64226303401</v>
      </c>
      <c r="K26" s="71">
        <f t="shared" ca="1" si="5"/>
        <v>1089495.8997684647</v>
      </c>
      <c r="L26" s="71">
        <f t="shared" ca="1" si="5"/>
        <v>1227015.2368955445</v>
      </c>
      <c r="M26" s="71">
        <f t="shared" ca="1" si="5"/>
        <v>1350310.8853812858</v>
      </c>
      <c r="O26" s="72"/>
    </row>
    <row r="27" spans="3:16" ht="15.75" customHeight="1">
      <c r="C27" s="75" t="s">
        <v>84</v>
      </c>
      <c r="D27" s="74"/>
      <c r="E27" s="76">
        <f>E26/E9</f>
        <v>0.11712223039372523</v>
      </c>
      <c r="F27" s="76">
        <f>F26/F9</f>
        <v>0.11292053079903405</v>
      </c>
      <c r="G27" s="76" t="str">
        <f>IFERROR(G26/G9,"")</f>
        <v/>
      </c>
      <c r="H27" s="76">
        <f t="shared" ref="H27:M27" si="6">H26/H9</f>
        <v>0.12284214860110793</v>
      </c>
      <c r="I27" s="76">
        <f t="shared" ca="1" si="6"/>
        <v>0.12171633296419275</v>
      </c>
      <c r="J27" s="76">
        <f t="shared" ca="1" si="6"/>
        <v>0.12385699230499175</v>
      </c>
      <c r="K27" s="76">
        <f t="shared" ca="1" si="6"/>
        <v>0.12542664603086415</v>
      </c>
      <c r="L27" s="76">
        <f t="shared" ca="1" si="6"/>
        <v>0.12702926678892054</v>
      </c>
      <c r="M27" s="76">
        <f t="shared" ca="1" si="6"/>
        <v>0.12776953988457498</v>
      </c>
      <c r="O27" s="72"/>
    </row>
    <row r="28" spans="3:16" ht="15.75" customHeight="1">
      <c r="C28" s="73" t="s">
        <v>85</v>
      </c>
      <c r="D28" s="73"/>
      <c r="E28" s="67" t="s">
        <v>86</v>
      </c>
      <c r="F28" s="67">
        <v>17376</v>
      </c>
      <c r="G28" s="67"/>
      <c r="H28" s="67">
        <v>13237</v>
      </c>
      <c r="I28" s="77">
        <f ca="1">0.2%*I9</f>
        <v>13636.71168</v>
      </c>
      <c r="J28" s="77">
        <f ca="1">0.2%*J9</f>
        <v>15492.361382399999</v>
      </c>
      <c r="K28" s="77">
        <f ca="1">0.2%*K9</f>
        <v>17372.638657664</v>
      </c>
      <c r="L28" s="77">
        <f ca="1">0.2%*L9</f>
        <v>19318.6226751104</v>
      </c>
      <c r="M28" s="77">
        <f ca="1">0.2%*M9</f>
        <v>21136.663505263237</v>
      </c>
    </row>
    <row r="29" spans="3:16" ht="15.75" hidden="1" customHeight="1">
      <c r="C29" s="73" t="s">
        <v>87</v>
      </c>
      <c r="D29" s="73"/>
      <c r="E29" s="67" t="s">
        <v>86</v>
      </c>
      <c r="F29" s="67">
        <v>43239</v>
      </c>
      <c r="G29" s="67"/>
      <c r="H29" s="67">
        <v>26028</v>
      </c>
      <c r="I29" s="67" t="s">
        <v>86</v>
      </c>
      <c r="J29" s="67" t="s">
        <v>86</v>
      </c>
      <c r="K29" s="67" t="s">
        <v>86</v>
      </c>
      <c r="L29" s="67" t="s">
        <v>86</v>
      </c>
      <c r="M29" s="67" t="s">
        <v>86</v>
      </c>
    </row>
    <row r="30" spans="3:16" ht="15.75" hidden="1" customHeight="1">
      <c r="C30" s="73" t="s">
        <v>88</v>
      </c>
      <c r="D30" s="73"/>
      <c r="E30" s="67" t="s">
        <v>86</v>
      </c>
      <c r="F30" s="67">
        <v>26909</v>
      </c>
      <c r="G30" s="67"/>
      <c r="H30" s="67">
        <v>0</v>
      </c>
      <c r="I30" s="67" t="s">
        <v>86</v>
      </c>
      <c r="J30" s="67" t="s">
        <v>86</v>
      </c>
      <c r="K30" s="67" t="s">
        <v>86</v>
      </c>
      <c r="L30" s="67" t="s">
        <v>86</v>
      </c>
      <c r="M30" s="67" t="s">
        <v>86</v>
      </c>
    </row>
    <row r="31" spans="3:16" ht="15.75" hidden="1" customHeight="1">
      <c r="C31" s="73" t="s">
        <v>89</v>
      </c>
      <c r="D31" s="73"/>
      <c r="E31" s="67" t="s">
        <v>86</v>
      </c>
      <c r="F31" s="67">
        <v>2782</v>
      </c>
      <c r="G31" s="67"/>
      <c r="H31" s="67">
        <v>5601</v>
      </c>
      <c r="I31" s="67" t="s">
        <v>86</v>
      </c>
      <c r="J31" s="67" t="s">
        <v>86</v>
      </c>
      <c r="K31" s="67" t="s">
        <v>86</v>
      </c>
      <c r="L31" s="67" t="s">
        <v>86</v>
      </c>
      <c r="M31" s="67" t="s">
        <v>86</v>
      </c>
    </row>
    <row r="32" spans="3:16" ht="15.75" hidden="1" customHeight="1">
      <c r="C32" s="73" t="s">
        <v>90</v>
      </c>
      <c r="D32" s="73"/>
      <c r="E32" s="67" t="s">
        <v>86</v>
      </c>
      <c r="F32" s="67">
        <v>1374</v>
      </c>
      <c r="G32" s="67"/>
      <c r="H32" s="67">
        <v>0</v>
      </c>
      <c r="I32" s="67" t="s">
        <v>86</v>
      </c>
      <c r="J32" s="67" t="s">
        <v>86</v>
      </c>
      <c r="K32" s="67" t="s">
        <v>86</v>
      </c>
      <c r="L32" s="67" t="s">
        <v>86</v>
      </c>
      <c r="M32" s="67" t="s">
        <v>86</v>
      </c>
    </row>
    <row r="33" spans="2:18" ht="15.75" hidden="1" customHeight="1">
      <c r="C33" s="68" t="s">
        <v>91</v>
      </c>
      <c r="D33" s="68"/>
      <c r="E33" s="67" t="s">
        <v>86</v>
      </c>
      <c r="F33" s="67">
        <v>0</v>
      </c>
      <c r="G33" s="67"/>
      <c r="H33" s="67">
        <v>-3000</v>
      </c>
      <c r="I33" s="67" t="s">
        <v>86</v>
      </c>
      <c r="J33" s="67" t="s">
        <v>86</v>
      </c>
      <c r="K33" s="67" t="s">
        <v>86</v>
      </c>
      <c r="L33" s="67" t="s">
        <v>86</v>
      </c>
      <c r="M33" s="67" t="s">
        <v>86</v>
      </c>
    </row>
    <row r="34" spans="2:18" ht="15.75" hidden="1" customHeight="1">
      <c r="C34" s="68" t="s">
        <v>92</v>
      </c>
      <c r="D34" s="68"/>
      <c r="E34" s="67" t="s">
        <v>86</v>
      </c>
      <c r="F34" s="67">
        <v>0</v>
      </c>
      <c r="G34" s="67"/>
      <c r="H34" s="67">
        <v>2764</v>
      </c>
      <c r="I34" s="67" t="s">
        <v>86</v>
      </c>
      <c r="J34" s="67" t="s">
        <v>86</v>
      </c>
      <c r="K34" s="67" t="s">
        <v>86</v>
      </c>
      <c r="L34" s="67" t="s">
        <v>86</v>
      </c>
      <c r="M34" s="67" t="s">
        <v>86</v>
      </c>
    </row>
    <row r="35" spans="2:18" ht="15.75" hidden="1" customHeight="1">
      <c r="C35" s="68" t="s">
        <v>93</v>
      </c>
      <c r="D35" s="68"/>
      <c r="E35" s="67" t="s">
        <v>86</v>
      </c>
      <c r="F35" s="67">
        <v>0</v>
      </c>
      <c r="G35" s="67"/>
      <c r="H35" s="67">
        <v>4990</v>
      </c>
      <c r="I35" s="67" t="s">
        <v>86</v>
      </c>
      <c r="J35" s="67" t="s">
        <v>86</v>
      </c>
      <c r="K35" s="67" t="s">
        <v>86</v>
      </c>
      <c r="L35" s="67" t="s">
        <v>86</v>
      </c>
      <c r="M35" s="67" t="s">
        <v>86</v>
      </c>
    </row>
    <row r="36" spans="2:18" ht="15.75" hidden="1" customHeight="1">
      <c r="C36" s="68" t="s">
        <v>94</v>
      </c>
      <c r="D36" s="68"/>
      <c r="E36" s="67" t="s">
        <v>86</v>
      </c>
      <c r="F36" s="67">
        <v>7470</v>
      </c>
      <c r="G36" s="67"/>
      <c r="H36" s="67">
        <v>13820</v>
      </c>
      <c r="I36" s="67" t="s">
        <v>86</v>
      </c>
      <c r="J36" s="67" t="s">
        <v>86</v>
      </c>
      <c r="K36" s="67" t="s">
        <v>86</v>
      </c>
      <c r="L36" s="67" t="s">
        <v>86</v>
      </c>
      <c r="M36" s="67" t="s">
        <v>86</v>
      </c>
    </row>
    <row r="37" spans="2:18" ht="15" customHeight="1">
      <c r="C37" s="74" t="s">
        <v>95</v>
      </c>
      <c r="D37" s="74"/>
      <c r="E37" s="78">
        <v>561100</v>
      </c>
      <c r="F37" s="78">
        <f>SUM(F26:F36)</f>
        <v>690533.11292053084</v>
      </c>
      <c r="G37" s="78"/>
      <c r="H37" s="78">
        <f>SUM(H26:H36)</f>
        <v>808172.12284214864</v>
      </c>
      <c r="I37" s="78">
        <f ca="1">(I6+I7)*Drivers!H48+I268-I271</f>
        <v>886386.25919999997</v>
      </c>
      <c r="J37" s="78">
        <f ca="1">(J6+J7)*Drivers!I48+J268-J271</f>
        <v>1042776.0599786666</v>
      </c>
      <c r="K37" s="78">
        <f ca="1">(K6+K7)*Drivers!J48+K268-K271</f>
        <v>1212648.0393698134</v>
      </c>
      <c r="L37" s="78">
        <f ca="1">(L6+L7)*Drivers!K48+L268-L271</f>
        <v>1376424.9479370601</v>
      </c>
      <c r="M37" s="78">
        <f ca="1">(M6+M7)*Drivers!L48+M268-M271</f>
        <v>1537582.3590842162</v>
      </c>
      <c r="O37" t="s">
        <v>96</v>
      </c>
    </row>
    <row r="38" spans="2:18" ht="15.75" customHeight="1"/>
    <row r="39" spans="2:18" ht="15.75" customHeight="1">
      <c r="B39" t="s">
        <v>0</v>
      </c>
      <c r="C39" s="57" t="s">
        <v>97</v>
      </c>
      <c r="D39" s="57"/>
      <c r="E39" s="31"/>
      <c r="F39" s="31"/>
      <c r="G39" s="31"/>
      <c r="H39" s="31"/>
      <c r="I39" s="6"/>
      <c r="J39" s="6"/>
      <c r="K39" s="6"/>
      <c r="L39" s="6"/>
      <c r="M39" s="6"/>
    </row>
    <row r="40" spans="2:18" ht="15.75" customHeight="1">
      <c r="C40" s="79" t="str">
        <f>C3</f>
        <v xml:space="preserve">Fiscal year  </v>
      </c>
      <c r="D40" s="79"/>
      <c r="E40" s="80">
        <f>E3</f>
        <v>2023</v>
      </c>
      <c r="F40" s="81">
        <f>F3</f>
        <v>2024</v>
      </c>
      <c r="G40" s="81">
        <f>H3</f>
        <v>2025</v>
      </c>
      <c r="H40" s="82" t="s">
        <v>98</v>
      </c>
      <c r="I40" s="83">
        <f t="shared" ref="I40:M41" si="7">I3</f>
        <v>2026</v>
      </c>
      <c r="J40" s="83">
        <f t="shared" si="7"/>
        <v>2027</v>
      </c>
      <c r="K40" s="83">
        <f t="shared" si="7"/>
        <v>2028</v>
      </c>
      <c r="L40" s="83">
        <f t="shared" si="7"/>
        <v>2029</v>
      </c>
      <c r="M40" s="83">
        <f t="shared" si="7"/>
        <v>2030</v>
      </c>
    </row>
    <row r="41" spans="2:18" ht="15.75" customHeight="1">
      <c r="C41" s="6" t="str">
        <f>C4</f>
        <v>Fiscal year end date</v>
      </c>
      <c r="D41" s="6"/>
      <c r="E41" s="84">
        <f>E4</f>
        <v>45291</v>
      </c>
      <c r="F41" s="85">
        <f>F4</f>
        <v>45657</v>
      </c>
      <c r="G41" s="85">
        <f>H4</f>
        <v>46022</v>
      </c>
      <c r="H41" s="85">
        <f>Drivers!D9</f>
        <v>46022</v>
      </c>
      <c r="I41" s="85">
        <f t="shared" si="7"/>
        <v>46387</v>
      </c>
      <c r="J41" s="85">
        <f t="shared" si="7"/>
        <v>46752</v>
      </c>
      <c r="K41" s="85">
        <f t="shared" si="7"/>
        <v>47118</v>
      </c>
      <c r="L41" s="85">
        <f t="shared" si="7"/>
        <v>47483</v>
      </c>
      <c r="M41" s="85">
        <f t="shared" si="7"/>
        <v>47848</v>
      </c>
    </row>
    <row r="42" spans="2:18" ht="15.75" customHeight="1">
      <c r="C42" s="25" t="s">
        <v>99</v>
      </c>
      <c r="D42" s="25"/>
      <c r="E42" s="86"/>
      <c r="F42" s="86"/>
      <c r="G42" s="86"/>
      <c r="H42" s="86"/>
      <c r="I42" s="86"/>
      <c r="J42" s="86"/>
      <c r="K42" s="86"/>
      <c r="L42" s="86"/>
      <c r="M42" s="86"/>
    </row>
    <row r="43" spans="2:18" ht="15.75" customHeight="1">
      <c r="C43" s="87" t="s">
        <v>100</v>
      </c>
      <c r="D43" s="25"/>
      <c r="E43" s="86"/>
      <c r="F43" s="86"/>
      <c r="G43" s="86"/>
      <c r="H43" s="86"/>
      <c r="I43" s="86"/>
      <c r="J43" s="86"/>
      <c r="K43" s="86"/>
      <c r="L43" s="86"/>
      <c r="M43" s="86"/>
    </row>
    <row r="44" spans="2:18" ht="15.75" customHeight="1">
      <c r="C44" s="88" t="s">
        <v>101</v>
      </c>
      <c r="D44" s="89"/>
      <c r="E44" s="49"/>
      <c r="F44" s="90">
        <v>102581</v>
      </c>
      <c r="G44" s="90">
        <v>289717</v>
      </c>
      <c r="H44" s="90">
        <f>'Sources &amp; Uses'!F23</f>
        <v>100000</v>
      </c>
      <c r="I44" s="91">
        <f ca="1">H44+I113</f>
        <v>100000</v>
      </c>
      <c r="J44" s="91">
        <f ca="1">I44+J113</f>
        <v>100000</v>
      </c>
      <c r="K44" s="91">
        <f ca="1">J44+K113</f>
        <v>100000</v>
      </c>
      <c r="L44" s="91">
        <f ca="1">K44+L113</f>
        <v>137290.57991165185</v>
      </c>
      <c r="M44" s="91">
        <f ca="1">L44+M113</f>
        <v>239296.31918287775</v>
      </c>
    </row>
    <row r="45" spans="2:18" ht="15.75" customHeight="1">
      <c r="C45" s="88" t="s">
        <v>102</v>
      </c>
      <c r="D45" s="89"/>
      <c r="E45" s="49"/>
      <c r="F45" s="90">
        <v>580668</v>
      </c>
      <c r="G45" s="90">
        <v>654390</v>
      </c>
      <c r="H45" s="90">
        <f>G45</f>
        <v>654390</v>
      </c>
      <c r="I45" s="91">
        <f ca="1">H45*(1+Drivers!H21)</f>
        <v>735976.09013187932</v>
      </c>
      <c r="J45" s="91">
        <f ca="1">I45*(1+Drivers!I21)</f>
        <v>836125.88024805032</v>
      </c>
      <c r="K45" s="91">
        <f ca="1">J45*(1+Drivers!J21)</f>
        <v>937604.82545756176</v>
      </c>
      <c r="L45" s="91">
        <f ca="1">K45*(1+Drivers!K21)</f>
        <v>1042629.9768450352</v>
      </c>
      <c r="M45" s="91">
        <f ca="1">L45*(1+Drivers!L21)</f>
        <v>1140750.008512083</v>
      </c>
    </row>
    <row r="46" spans="2:18" ht="15.75" customHeight="1">
      <c r="C46" s="88" t="s">
        <v>103</v>
      </c>
      <c r="D46" s="89"/>
      <c r="E46" s="49"/>
      <c r="F46" s="90">
        <v>915200</v>
      </c>
      <c r="G46" s="90">
        <v>1071703</v>
      </c>
      <c r="H46" s="90">
        <f>G46</f>
        <v>1071703</v>
      </c>
      <c r="I46" s="91">
        <f ca="1">H46*(1+Drivers!H21)</f>
        <v>1205317.599172673</v>
      </c>
      <c r="J46" s="91">
        <f ca="1">I46*(1+Drivers!I21)</f>
        <v>1369334.2108520549</v>
      </c>
      <c r="K46" s="91">
        <f ca="1">J46*(1+Drivers!J21)</f>
        <v>1535527.5970863632</v>
      </c>
      <c r="L46" s="91">
        <f ca="1">K46*(1+Drivers!K21)</f>
        <v>1707528.65122443</v>
      </c>
      <c r="M46" s="91">
        <f ca="1">L46*(1+Drivers!L21)</f>
        <v>1868221.1011360576</v>
      </c>
    </row>
    <row r="47" spans="2:18" ht="15.75" customHeight="1">
      <c r="C47" s="88" t="s">
        <v>104</v>
      </c>
      <c r="D47" s="89"/>
      <c r="E47" s="49"/>
      <c r="F47" s="90">
        <v>847018</v>
      </c>
      <c r="G47" s="90">
        <v>827691</v>
      </c>
      <c r="H47" s="90">
        <f>G47</f>
        <v>827691</v>
      </c>
      <c r="I47" s="91">
        <f ca="1">H47*(1+((I10-H10)/H10))</f>
        <v>930919.48255349498</v>
      </c>
      <c r="J47" s="91">
        <f ca="1">I47*(1+((J10-I10)/I10))</f>
        <v>1055114.0618130313</v>
      </c>
      <c r="K47" s="91">
        <f ca="1">J47*(1+((K10-J10)/J10))</f>
        <v>1180387.2375532992</v>
      </c>
      <c r="L47" s="91">
        <f ca="1">K47*(1+((L10-K10)/K10))</f>
        <v>1311059.6055162309</v>
      </c>
      <c r="M47" s="91">
        <f ca="1">L47*(1+((M10-L10)/L10))</f>
        <v>1432747.5117153788</v>
      </c>
      <c r="R47" s="91"/>
    </row>
    <row r="48" spans="2:18" ht="15.75" customHeight="1">
      <c r="C48" s="88" t="s">
        <v>105</v>
      </c>
      <c r="D48" s="89"/>
      <c r="E48" s="49"/>
      <c r="F48" s="90">
        <v>29707</v>
      </c>
      <c r="G48" s="90">
        <v>42776</v>
      </c>
      <c r="H48" s="90">
        <f>G48</f>
        <v>42776</v>
      </c>
      <c r="I48" s="91">
        <f ca="1">H48*(1+Drivers!H21)</f>
        <v>48109.098903530416</v>
      </c>
      <c r="J48" s="91">
        <f ca="1">I48*(1+Drivers!I21)</f>
        <v>54655.665052171636</v>
      </c>
      <c r="K48" s="91">
        <f ca="1">J48*(1+Drivers!J21)</f>
        <v>61289.11507476071</v>
      </c>
      <c r="L48" s="91">
        <f ca="1">K48*(1+Drivers!K21)</f>
        <v>68154.37260582103</v>
      </c>
      <c r="M48" s="91">
        <f ca="1">L48*(1+Drivers!L21)</f>
        <v>74568.258017562708</v>
      </c>
    </row>
    <row r="49" spans="3:17" ht="15.75" customHeight="1">
      <c r="C49" s="88" t="s">
        <v>106</v>
      </c>
      <c r="D49" s="89"/>
      <c r="E49" s="49"/>
      <c r="F49" s="90">
        <v>9960</v>
      </c>
      <c r="G49" s="90">
        <v>10182</v>
      </c>
      <c r="H49" s="90">
        <f>G49</f>
        <v>10182</v>
      </c>
      <c r="I49" s="91">
        <f>H49</f>
        <v>10182</v>
      </c>
      <c r="J49" s="91">
        <f>I49</f>
        <v>10182</v>
      </c>
      <c r="K49" s="91">
        <f>J49</f>
        <v>10182</v>
      </c>
      <c r="L49" s="91">
        <f>K49</f>
        <v>10182</v>
      </c>
      <c r="M49" s="91">
        <f>L49</f>
        <v>10182</v>
      </c>
    </row>
    <row r="50" spans="3:17" ht="15.75" customHeight="1">
      <c r="C50" s="92" t="s">
        <v>107</v>
      </c>
      <c r="D50" s="93"/>
      <c r="E50" s="49"/>
      <c r="F50" s="94">
        <f t="shared" ref="F50:M50" si="8">SUM(F44:F49)</f>
        <v>2485134</v>
      </c>
      <c r="G50" s="94">
        <f t="shared" si="8"/>
        <v>2896459</v>
      </c>
      <c r="H50" s="94">
        <f t="shared" si="8"/>
        <v>2706742</v>
      </c>
      <c r="I50" s="94">
        <f t="shared" ca="1" si="8"/>
        <v>3030504.2707615774</v>
      </c>
      <c r="J50" s="94">
        <f t="shared" ca="1" si="8"/>
        <v>3425411.8179653082</v>
      </c>
      <c r="K50" s="94">
        <f t="shared" ca="1" si="8"/>
        <v>3824990.7751719854</v>
      </c>
      <c r="L50" s="94">
        <f t="shared" ca="1" si="8"/>
        <v>4276845.1861031689</v>
      </c>
      <c r="M50" s="94">
        <f t="shared" ca="1" si="8"/>
        <v>4765765.1985639594</v>
      </c>
    </row>
    <row r="51" spans="3:17" ht="15.75" customHeight="1">
      <c r="C51" s="68" t="s">
        <v>108</v>
      </c>
      <c r="E51" s="49"/>
      <c r="F51" s="90">
        <v>568607</v>
      </c>
      <c r="G51" s="90">
        <v>579971</v>
      </c>
      <c r="H51" s="90">
        <f>G51</f>
        <v>579971</v>
      </c>
      <c r="I51" s="91">
        <f ca="1">I122</f>
        <v>602464.50051595771</v>
      </c>
      <c r="J51" s="91">
        <f ca="1">J122</f>
        <v>628018.86046180199</v>
      </c>
      <c r="K51" s="91">
        <f ca="1">K122</f>
        <v>656674.70255772525</v>
      </c>
      <c r="L51" s="91">
        <f ca="1">L122</f>
        <v>688540.40884434443</v>
      </c>
      <c r="M51" s="91">
        <f ca="1">M122</f>
        <v>723404.93943045009</v>
      </c>
      <c r="Q51" s="91"/>
    </row>
    <row r="52" spans="3:17" ht="15.75" customHeight="1">
      <c r="C52" s="73" t="s">
        <v>109</v>
      </c>
      <c r="D52" s="95"/>
      <c r="E52" s="49"/>
      <c r="F52" s="90">
        <v>172206</v>
      </c>
      <c r="G52" s="90">
        <v>222151</v>
      </c>
      <c r="H52" s="90">
        <f>G52</f>
        <v>222151</v>
      </c>
      <c r="I52" s="91">
        <f>H52</f>
        <v>222151</v>
      </c>
      <c r="J52" s="91">
        <f>I52</f>
        <v>222151</v>
      </c>
      <c r="K52" s="91">
        <f>J52</f>
        <v>222151</v>
      </c>
      <c r="L52" s="91">
        <f>K52</f>
        <v>222151</v>
      </c>
      <c r="M52" s="91">
        <f>L52</f>
        <v>222151</v>
      </c>
      <c r="Q52" s="91"/>
    </row>
    <row r="53" spans="3:17" ht="15.75" customHeight="1">
      <c r="C53" s="73" t="s">
        <v>110</v>
      </c>
      <c r="D53" s="95"/>
      <c r="E53" s="49"/>
      <c r="F53" s="90">
        <v>1004701</v>
      </c>
      <c r="G53" s="90">
        <v>920432</v>
      </c>
      <c r="H53" s="90">
        <f>G53</f>
        <v>920432</v>
      </c>
      <c r="I53" s="91">
        <f ca="1">H53 - I127*0.6425 + (-I103)*0.4</f>
        <v>842417.72250000003</v>
      </c>
      <c r="J53" s="91">
        <f ca="1">I53 - J127*0.6425 + (-J103)*0.4</f>
        <v>791005.13250000007</v>
      </c>
      <c r="K53" s="91">
        <f ca="1">J53 - K127*0.6425 + (-K103)*0.4</f>
        <v>740594.20000000007</v>
      </c>
      <c r="L53" s="91">
        <f ca="1">K53 - L127*0.6425 + (-L103)*0.4</f>
        <v>702224.49000000011</v>
      </c>
      <c r="M53" s="91">
        <f ca="1">L53 - M127*0.6425 + (-M103)*0.4</f>
        <v>664520.41000000015</v>
      </c>
      <c r="O53" t="s">
        <v>111</v>
      </c>
      <c r="Q53" s="91"/>
    </row>
    <row r="54" spans="3:17" ht="15.75" customHeight="1">
      <c r="C54" s="73" t="s">
        <v>112</v>
      </c>
      <c r="D54" s="95"/>
      <c r="E54" s="49"/>
      <c r="F54" s="90">
        <v>291487</v>
      </c>
      <c r="G54" s="90">
        <v>244877</v>
      </c>
      <c r="H54" s="90">
        <f>G54</f>
        <v>244877</v>
      </c>
      <c r="I54" s="91">
        <f>H54 - I127*0.3575 + (-I106)</f>
        <v>228468.2775</v>
      </c>
      <c r="J54" s="91">
        <f>I54 - J127*0.3575 + (-J106)</f>
        <v>215732.86749999999</v>
      </c>
      <c r="K54" s="91">
        <f>J54 - K127*0.3575 + (-K106)</f>
        <v>203554.8</v>
      </c>
      <c r="L54" s="91">
        <f>K54 - L127*0.3575 + (-L106)</f>
        <v>192512.50999999998</v>
      </c>
      <c r="M54" s="91">
        <f>L54 - M127*0.3575 + (-M106)</f>
        <v>181840.58999999997</v>
      </c>
      <c r="O54" t="s">
        <v>113</v>
      </c>
    </row>
    <row r="55" spans="3:17" ht="15.75" customHeight="1">
      <c r="C55" s="73" t="s">
        <v>114</v>
      </c>
      <c r="D55" s="95"/>
      <c r="E55" s="49"/>
      <c r="F55" s="90">
        <v>1685970</v>
      </c>
      <c r="G55" s="90">
        <v>1684255</v>
      </c>
      <c r="H55" s="90">
        <f>G55+'Sources &amp; Uses'!F20-G85</f>
        <v>8810551.7812111545</v>
      </c>
      <c r="I55" s="91">
        <f ca="1">H55 + (-I103)*0.6</f>
        <v>8810551.7812111545</v>
      </c>
      <c r="J55" s="91">
        <f ca="1">I55 + (-J103)*0.6</f>
        <v>8840551.7812111545</v>
      </c>
      <c r="K55" s="91">
        <f ca="1">J55 + (-K103)*0.6</f>
        <v>8870551.7812111545</v>
      </c>
      <c r="L55" s="91">
        <f ca="1">K55 + (-L103)*0.6</f>
        <v>8915551.7812111545</v>
      </c>
      <c r="M55" s="91">
        <f ca="1">L55 + (-M103)*0.6</f>
        <v>8960551.7812111545</v>
      </c>
      <c r="O55" t="s">
        <v>115</v>
      </c>
    </row>
    <row r="56" spans="3:17" ht="15.75" customHeight="1">
      <c r="C56" s="73" t="s">
        <v>116</v>
      </c>
      <c r="D56" s="95"/>
      <c r="E56" s="49"/>
      <c r="F56" s="90">
        <v>1079</v>
      </c>
      <c r="G56" s="90">
        <v>2832</v>
      </c>
      <c r="H56" s="90">
        <f t="shared" ref="H56:M56" si="9">G56</f>
        <v>2832</v>
      </c>
      <c r="I56" s="91">
        <f t="shared" si="9"/>
        <v>2832</v>
      </c>
      <c r="J56" s="91">
        <f t="shared" si="9"/>
        <v>2832</v>
      </c>
      <c r="K56" s="91">
        <f t="shared" si="9"/>
        <v>2832</v>
      </c>
      <c r="L56" s="91">
        <f t="shared" si="9"/>
        <v>2832</v>
      </c>
      <c r="M56" s="91">
        <f t="shared" si="9"/>
        <v>2832</v>
      </c>
    </row>
    <row r="57" spans="3:17" ht="15.75" customHeight="1">
      <c r="C57" s="68" t="s">
        <v>117</v>
      </c>
      <c r="E57" s="49"/>
      <c r="F57" s="90">
        <v>4417</v>
      </c>
      <c r="G57" s="90">
        <v>6434</v>
      </c>
      <c r="H57" s="90">
        <f>G57</f>
        <v>6434</v>
      </c>
      <c r="I57" s="91">
        <f ca="1">H57*(1+Drivers!H21)</f>
        <v>7236.1591159836053</v>
      </c>
      <c r="J57" s="91">
        <f ca="1">I57*(1+Drivers!I21)</f>
        <v>8220.8375945780881</v>
      </c>
      <c r="K57" s="91">
        <f ca="1">J57*(1+Drivers!J21)</f>
        <v>9218.5844022585188</v>
      </c>
      <c r="L57" s="91">
        <f ca="1">K57*(1+Drivers!K21)</f>
        <v>10251.197712405379</v>
      </c>
      <c r="M57" s="91">
        <f ca="1">L57*(1+Drivers!L21)</f>
        <v>11215.919489550179</v>
      </c>
    </row>
    <row r="58" spans="3:17" ht="15.75" customHeight="1">
      <c r="C58" s="96" t="s">
        <v>118</v>
      </c>
      <c r="D58" s="97"/>
      <c r="E58" s="98"/>
      <c r="F58" s="94">
        <f t="shared" ref="F58:M58" si="10">SUM(F50:F57)</f>
        <v>6213601</v>
      </c>
      <c r="G58" s="94">
        <f t="shared" si="10"/>
        <v>6557411</v>
      </c>
      <c r="H58" s="94">
        <f t="shared" si="10"/>
        <v>13493990.781211155</v>
      </c>
      <c r="I58" s="94">
        <f t="shared" ca="1" si="10"/>
        <v>13746625.711604672</v>
      </c>
      <c r="J58" s="94">
        <f t="shared" ca="1" si="10"/>
        <v>14133924.297232842</v>
      </c>
      <c r="K58" s="94">
        <f t="shared" ca="1" si="10"/>
        <v>14530567.843343124</v>
      </c>
      <c r="L58" s="94">
        <f t="shared" ca="1" si="10"/>
        <v>15010908.573871072</v>
      </c>
      <c r="M58" s="94">
        <f t="shared" ca="1" si="10"/>
        <v>15532281.838695114</v>
      </c>
    </row>
    <row r="59" spans="3:17" ht="15.75" customHeight="1">
      <c r="C59" s="74" t="s">
        <v>119</v>
      </c>
      <c r="D59" s="74"/>
      <c r="E59" s="91"/>
      <c r="I59" s="91"/>
      <c r="J59" s="91"/>
      <c r="K59" s="91"/>
      <c r="L59" s="91"/>
      <c r="M59" s="91"/>
    </row>
    <row r="60" spans="3:17" ht="15.75" customHeight="1">
      <c r="C60" s="96" t="s">
        <v>120</v>
      </c>
      <c r="D60" s="74"/>
      <c r="E60" s="91"/>
      <c r="I60" s="91"/>
      <c r="J60" s="91"/>
      <c r="K60" s="91"/>
      <c r="L60" s="91"/>
      <c r="M60" s="91"/>
    </row>
    <row r="61" spans="3:17" ht="15.75" customHeight="1">
      <c r="C61" s="88" t="s">
        <v>121</v>
      </c>
      <c r="D61" s="89"/>
      <c r="E61" s="49"/>
      <c r="F61" s="90">
        <v>645701</v>
      </c>
      <c r="G61" s="90">
        <v>679772</v>
      </c>
      <c r="H61" s="90">
        <f t="shared" ref="H61:H67" si="11">G61</f>
        <v>679772</v>
      </c>
      <c r="I61" s="91">
        <f ca="1">H61*(1+(I10-H10)/H10)</f>
        <v>764552.22842142102</v>
      </c>
      <c r="J61" s="91">
        <f ca="1">I61*(1+(J10-I10)/I10)</f>
        <v>866551.64309720416</v>
      </c>
      <c r="K61" s="91">
        <f ca="1">J61*(1+(K10-J10)/J10)</f>
        <v>969436.89522549033</v>
      </c>
      <c r="L61" s="91">
        <f ca="1">K61*(1+(L10-K10)/K10)</f>
        <v>1076756.4346609777</v>
      </c>
      <c r="M61" s="91">
        <f ca="1">L61*(1+(M10-L10)/L10)</f>
        <v>1176697.1509099246</v>
      </c>
    </row>
    <row r="62" spans="3:17" ht="15.75" customHeight="1">
      <c r="C62" s="88" t="s">
        <v>122</v>
      </c>
      <c r="D62" s="89"/>
      <c r="E62" s="49"/>
      <c r="F62" s="90">
        <v>99572</v>
      </c>
      <c r="G62" s="90">
        <v>91499</v>
      </c>
      <c r="H62" s="90">
        <f t="shared" si="11"/>
        <v>91499</v>
      </c>
      <c r="I62" s="91">
        <f ca="1">H62*(1+Drivers!H21)</f>
        <v>102906.64018548086</v>
      </c>
      <c r="J62" s="91">
        <f ca="1">I62*(1+Drivers!I21)</f>
        <v>116909.91903424005</v>
      </c>
      <c r="K62" s="91">
        <f ca="1">J62*(1+Drivers!J21)</f>
        <v>131099.04479674419</v>
      </c>
      <c r="L62" s="91">
        <f ca="1">K62*(1+Drivers!K21)</f>
        <v>145784.01297596825</v>
      </c>
      <c r="M62" s="91">
        <f ca="1">L62*(1+Drivers!L21)</f>
        <v>159503.48420490391</v>
      </c>
    </row>
    <row r="63" spans="3:17" ht="15.75" customHeight="1">
      <c r="C63" s="88" t="s">
        <v>123</v>
      </c>
      <c r="D63" s="89"/>
      <c r="E63" s="49"/>
      <c r="F63" s="90">
        <v>79134</v>
      </c>
      <c r="G63" s="90">
        <v>74008</v>
      </c>
      <c r="H63" s="90">
        <f t="shared" si="11"/>
        <v>74008</v>
      </c>
      <c r="I63" s="91">
        <f ca="1">H63*(1+Drivers!H21)</f>
        <v>83234.94930925002</v>
      </c>
      <c r="J63" s="91">
        <f ca="1">I63*(1+Drivers!I21)</f>
        <v>94561.353543601988</v>
      </c>
      <c r="K63" s="91">
        <f ca="1">J63*(1+Drivers!J21)</f>
        <v>106038.07809175451</v>
      </c>
      <c r="L63" s="91">
        <f ca="1">K63*(1+Drivers!K21)</f>
        <v>117915.8595430055</v>
      </c>
      <c r="M63" s="91">
        <f ca="1">L63*(1+Drivers!L21)</f>
        <v>129012.70898082526</v>
      </c>
    </row>
    <row r="64" spans="3:17" ht="15.75" customHeight="1">
      <c r="C64" s="88" t="s">
        <v>124</v>
      </c>
      <c r="D64" s="89"/>
      <c r="E64" s="49"/>
      <c r="F64" s="90">
        <v>17663</v>
      </c>
      <c r="G64" s="90">
        <v>22308</v>
      </c>
      <c r="H64" s="90">
        <f t="shared" si="11"/>
        <v>22308</v>
      </c>
      <c r="I64" s="91">
        <f t="shared" ref="I64:M65" si="12">H64</f>
        <v>22308</v>
      </c>
      <c r="J64" s="91">
        <f t="shared" si="12"/>
        <v>22308</v>
      </c>
      <c r="K64" s="91">
        <f t="shared" si="12"/>
        <v>22308</v>
      </c>
      <c r="L64" s="91">
        <f t="shared" si="12"/>
        <v>22308</v>
      </c>
      <c r="M64" s="91">
        <f t="shared" si="12"/>
        <v>22308</v>
      </c>
    </row>
    <row r="65" spans="3:15" ht="15.75" customHeight="1">
      <c r="C65" s="88" t="s">
        <v>125</v>
      </c>
      <c r="D65" s="89"/>
      <c r="E65" s="49"/>
      <c r="F65" s="90">
        <v>1345</v>
      </c>
      <c r="G65" s="90">
        <v>438</v>
      </c>
      <c r="H65" s="90">
        <f t="shared" si="11"/>
        <v>438</v>
      </c>
      <c r="I65" s="91">
        <f t="shared" si="12"/>
        <v>438</v>
      </c>
      <c r="J65" s="91">
        <f t="shared" si="12"/>
        <v>438</v>
      </c>
      <c r="K65" s="91">
        <f t="shared" si="12"/>
        <v>438</v>
      </c>
      <c r="L65" s="91">
        <f t="shared" si="12"/>
        <v>438</v>
      </c>
      <c r="M65" s="91">
        <f t="shared" si="12"/>
        <v>438</v>
      </c>
    </row>
    <row r="66" spans="3:15" ht="15.75" customHeight="1">
      <c r="C66" s="88" t="s">
        <v>126</v>
      </c>
      <c r="D66" s="89"/>
      <c r="E66" s="49"/>
      <c r="F66" s="90">
        <v>400025</v>
      </c>
      <c r="G66" s="90">
        <v>411321</v>
      </c>
      <c r="H66" s="90">
        <f t="shared" si="11"/>
        <v>411321</v>
      </c>
      <c r="I66" s="91">
        <f ca="1">H66*(1+Drivers!H21)</f>
        <v>462602.45628621266</v>
      </c>
      <c r="J66" s="91">
        <f ca="1">I66*(1+Drivers!I21)</f>
        <v>525552.24436422973</v>
      </c>
      <c r="K66" s="91">
        <f ca="1">J66*(1+Drivers!J21)</f>
        <v>589337.48133686301</v>
      </c>
      <c r="L66" s="91">
        <f ca="1">K66*(1+Drivers!K21)</f>
        <v>655351.70877592382</v>
      </c>
      <c r="M66" s="91">
        <f ca="1">L66*(1+Drivers!L21)</f>
        <v>717025.67926037766</v>
      </c>
    </row>
    <row r="67" spans="3:15" ht="15.75" customHeight="1">
      <c r="C67" s="88" t="s">
        <v>127</v>
      </c>
      <c r="D67" s="89"/>
      <c r="E67" s="49"/>
      <c r="F67" s="90">
        <v>6655</v>
      </c>
      <c r="G67" s="90">
        <v>13547</v>
      </c>
      <c r="H67" s="90">
        <f t="shared" si="11"/>
        <v>13547</v>
      </c>
      <c r="I67" s="91">
        <f>H67</f>
        <v>13547</v>
      </c>
      <c r="J67" s="91">
        <f>I67</f>
        <v>13547</v>
      </c>
      <c r="K67" s="91">
        <f>J67</f>
        <v>13547</v>
      </c>
      <c r="L67" s="91">
        <f>K67</f>
        <v>13547</v>
      </c>
      <c r="M67" s="91">
        <f>L67</f>
        <v>13547</v>
      </c>
    </row>
    <row r="68" spans="3:15" ht="15.75" customHeight="1">
      <c r="C68" s="88" t="s">
        <v>128</v>
      </c>
      <c r="D68" s="89"/>
      <c r="E68" s="49"/>
      <c r="F68" s="90">
        <v>23449</v>
      </c>
      <c r="G68" s="90">
        <v>23444</v>
      </c>
      <c r="H68" s="90">
        <f>H206*0.01</f>
        <v>36367.745527896688</v>
      </c>
      <c r="I68" s="91">
        <f ca="1">H209*0.01</f>
        <v>36004.068072617723</v>
      </c>
      <c r="J68" s="91">
        <f ca="1">I209*0.01</f>
        <v>35194.027391891548</v>
      </c>
      <c r="K68" s="91">
        <f ca="1">J209*0.01</f>
        <v>34392.087117972638</v>
      </c>
      <c r="L68" s="91">
        <f ca="1">K209*0.01</f>
        <v>33048.166246792905</v>
      </c>
      <c r="M68" s="91">
        <f ca="1">L209*0.01</f>
        <v>31317.684584324979</v>
      </c>
      <c r="O68" t="s">
        <v>129</v>
      </c>
    </row>
    <row r="69" spans="3:15" ht="15.75" customHeight="1">
      <c r="C69" s="92" t="s">
        <v>130</v>
      </c>
      <c r="D69" s="93"/>
      <c r="E69" s="49"/>
      <c r="F69" s="94">
        <f t="shared" ref="F69:M69" si="13">SUM(F61:F68)</f>
        <v>1273544</v>
      </c>
      <c r="G69" s="94">
        <f t="shared" si="13"/>
        <v>1316337</v>
      </c>
      <c r="H69" s="94">
        <f t="shared" si="13"/>
        <v>1329260.7455278968</v>
      </c>
      <c r="I69" s="94">
        <f t="shared" ca="1" si="13"/>
        <v>1485593.3422749822</v>
      </c>
      <c r="J69" s="94">
        <f t="shared" ca="1" si="13"/>
        <v>1675062.1874311673</v>
      </c>
      <c r="K69" s="94">
        <f t="shared" ca="1" si="13"/>
        <v>1866596.5865688247</v>
      </c>
      <c r="L69" s="94">
        <f t="shared" ca="1" si="13"/>
        <v>2065149.1822026682</v>
      </c>
      <c r="M69" s="94">
        <f t="shared" ca="1" si="13"/>
        <v>2249849.7079403568</v>
      </c>
    </row>
    <row r="70" spans="3:15" ht="16.5" customHeight="1">
      <c r="C70" s="73" t="s">
        <v>131</v>
      </c>
      <c r="D70" s="95"/>
      <c r="E70" s="49"/>
      <c r="F70" s="90">
        <v>2207977</v>
      </c>
      <c r="G70" s="90">
        <v>2191161</v>
      </c>
      <c r="H70" s="90">
        <f>'Sources &amp; Uses'!F10-H68</f>
        <v>5216751.0529460693</v>
      </c>
      <c r="I70" s="91">
        <f ca="1">H70-I68+I112</f>
        <v>5135746.9848734513</v>
      </c>
      <c r="J70" s="91">
        <f ca="1">I70-J68+J112</f>
        <v>5055552.9574815594</v>
      </c>
      <c r="K70" s="91">
        <f ca="1">J70-K68+K112</f>
        <v>4921160.8703635866</v>
      </c>
      <c r="L70" s="91">
        <f ca="1">K70-L68+L112</f>
        <v>4748112.7041167933</v>
      </c>
      <c r="M70" s="91">
        <f ca="1">L70-M68+M112</f>
        <v>4531795.0195324682</v>
      </c>
    </row>
    <row r="71" spans="3:15" ht="16.5" customHeight="1">
      <c r="C71" s="73" t="s">
        <v>132</v>
      </c>
      <c r="D71" s="95"/>
      <c r="E71" s="49"/>
      <c r="F71" s="90">
        <v>0</v>
      </c>
      <c r="G71" s="90">
        <v>0</v>
      </c>
      <c r="H71" s="90">
        <f t="shared" ref="H71:M71" si="14">-H233</f>
        <v>-124256.46388698037</v>
      </c>
      <c r="I71" s="99">
        <f t="shared" si="14"/>
        <v>-106916.04060044268</v>
      </c>
      <c r="J71" s="99">
        <f t="shared" si="14"/>
        <v>-89575.617313904979</v>
      </c>
      <c r="K71" s="99">
        <f t="shared" si="14"/>
        <v>-72235.194027367281</v>
      </c>
      <c r="L71" s="99">
        <f t="shared" si="14"/>
        <v>-54894.77074082959</v>
      </c>
      <c r="M71" s="99">
        <f t="shared" si="14"/>
        <v>-37554.347454291899</v>
      </c>
    </row>
    <row r="72" spans="3:15" ht="15.75" customHeight="1">
      <c r="C72" s="73" t="s">
        <v>133</v>
      </c>
      <c r="D72" s="95"/>
      <c r="E72" s="49"/>
      <c r="F72" s="90">
        <v>164224</v>
      </c>
      <c r="G72" s="90">
        <v>212365</v>
      </c>
      <c r="H72" s="90">
        <f t="shared" ref="H72:M74" si="15">G72</f>
        <v>212365</v>
      </c>
      <c r="I72" s="91">
        <f t="shared" si="15"/>
        <v>212365</v>
      </c>
      <c r="J72" s="91">
        <f t="shared" si="15"/>
        <v>212365</v>
      </c>
      <c r="K72" s="91">
        <f t="shared" si="15"/>
        <v>212365</v>
      </c>
      <c r="L72" s="91">
        <f t="shared" si="15"/>
        <v>212365</v>
      </c>
      <c r="M72" s="91">
        <f t="shared" si="15"/>
        <v>212365</v>
      </c>
    </row>
    <row r="73" spans="3:15" ht="15.75" customHeight="1">
      <c r="C73" s="73" t="s">
        <v>134</v>
      </c>
      <c r="D73" s="95"/>
      <c r="E73" s="49"/>
      <c r="F73" s="90">
        <v>169824</v>
      </c>
      <c r="G73" s="90">
        <v>157206</v>
      </c>
      <c r="H73" s="90">
        <f t="shared" si="15"/>
        <v>157206</v>
      </c>
      <c r="I73" s="91">
        <f t="shared" si="15"/>
        <v>157206</v>
      </c>
      <c r="J73" s="91">
        <f t="shared" si="15"/>
        <v>157206</v>
      </c>
      <c r="K73" s="91">
        <f t="shared" si="15"/>
        <v>157206</v>
      </c>
      <c r="L73" s="91">
        <f t="shared" si="15"/>
        <v>157206</v>
      </c>
      <c r="M73" s="91">
        <f t="shared" si="15"/>
        <v>157206</v>
      </c>
    </row>
    <row r="74" spans="3:15" ht="15.75" customHeight="1">
      <c r="C74" s="73" t="s">
        <v>135</v>
      </c>
      <c r="D74" s="95"/>
      <c r="E74" s="49"/>
      <c r="F74" s="90">
        <v>0</v>
      </c>
      <c r="G74" s="90">
        <v>5770</v>
      </c>
      <c r="H74" s="90">
        <f t="shared" si="15"/>
        <v>5770</v>
      </c>
      <c r="I74" s="91">
        <f t="shared" si="15"/>
        <v>5770</v>
      </c>
      <c r="J74" s="91">
        <f t="shared" si="15"/>
        <v>5770</v>
      </c>
      <c r="K74" s="91">
        <f t="shared" si="15"/>
        <v>5770</v>
      </c>
      <c r="L74" s="91">
        <f t="shared" si="15"/>
        <v>5770</v>
      </c>
      <c r="M74" s="91">
        <f t="shared" si="15"/>
        <v>5770</v>
      </c>
    </row>
    <row r="75" spans="3:15" ht="15.75" customHeight="1">
      <c r="C75" s="73" t="s">
        <v>136</v>
      </c>
      <c r="D75" s="95"/>
      <c r="E75" s="49"/>
      <c r="F75" s="90">
        <v>24628</v>
      </c>
      <c r="G75" s="90">
        <v>7261</v>
      </c>
      <c r="H75" s="90">
        <f>G75</f>
        <v>7261</v>
      </c>
      <c r="I75" s="91">
        <f ca="1">H75*(1+Drivers!H21)</f>
        <v>8166.2653623184578</v>
      </c>
      <c r="J75" s="91">
        <f ca="1">I75*(1+Drivers!I21)</f>
        <v>9277.5103783387476</v>
      </c>
      <c r="K75" s="91">
        <f ca="1">J75*(1+Drivers!J21)</f>
        <v>10403.503472924947</v>
      </c>
      <c r="L75" s="91">
        <f ca="1">K75*(1+Drivers!K21)</f>
        <v>11568.844667357083</v>
      </c>
      <c r="M75" s="91">
        <f ca="1">L75*(1+Drivers!L21)</f>
        <v>12657.567829285648</v>
      </c>
    </row>
    <row r="76" spans="3:15" ht="15.75" customHeight="1">
      <c r="C76" s="96" t="s">
        <v>137</v>
      </c>
      <c r="D76" s="97"/>
      <c r="E76" s="98"/>
      <c r="F76" s="94">
        <f>SUM(F69:F75)</f>
        <v>3840197</v>
      </c>
      <c r="G76" s="94">
        <f t="shared" ref="G76:M76" si="16">SUM(G69:G75)+G77</f>
        <v>3890100</v>
      </c>
      <c r="H76" s="94">
        <f t="shared" si="16"/>
        <v>6804357.3345869863</v>
      </c>
      <c r="I76" s="94">
        <f t="shared" ca="1" si="16"/>
        <v>6907895.9969262965</v>
      </c>
      <c r="J76" s="94">
        <f t="shared" ca="1" si="16"/>
        <v>7049110.0477668745</v>
      </c>
      <c r="K76" s="94">
        <f t="shared" ca="1" si="16"/>
        <v>7106470.5269537875</v>
      </c>
      <c r="L76" s="94">
        <f t="shared" ca="1" si="16"/>
        <v>7145276.9602459893</v>
      </c>
      <c r="M76" s="94">
        <f t="shared" ca="1" si="16"/>
        <v>7132088.947847819</v>
      </c>
    </row>
    <row r="77" spans="3:15" ht="15.75" customHeight="1">
      <c r="C77" s="96" t="s">
        <v>138</v>
      </c>
      <c r="D77" s="97"/>
      <c r="E77" s="98"/>
      <c r="F77" s="90">
        <v>0</v>
      </c>
      <c r="G77" s="90">
        <v>0</v>
      </c>
      <c r="H77" s="90">
        <v>0</v>
      </c>
      <c r="I77" s="100">
        <f ca="1">I225</f>
        <v>9964.4450159865155</v>
      </c>
      <c r="J77" s="100">
        <f ca="1">J225</f>
        <v>23452.009789713811</v>
      </c>
      <c r="K77" s="100">
        <f ca="1">K225</f>
        <v>5203.7605758180216</v>
      </c>
      <c r="L77" s="100">
        <f ca="1">L225</f>
        <v>0</v>
      </c>
      <c r="M77" s="100">
        <f ca="1">M225</f>
        <v>0</v>
      </c>
    </row>
    <row r="78" spans="3:15" ht="16.5" customHeight="1">
      <c r="C78" s="96" t="s">
        <v>139</v>
      </c>
      <c r="D78" s="97"/>
      <c r="E78" s="98"/>
      <c r="F78" s="94"/>
      <c r="G78" s="94"/>
      <c r="H78" s="94"/>
      <c r="I78" s="91"/>
      <c r="J78" s="91"/>
      <c r="K78" s="91"/>
      <c r="L78" s="91"/>
      <c r="M78" s="91"/>
    </row>
    <row r="79" spans="3:15" ht="15.75" customHeight="1">
      <c r="C79" s="88" t="s">
        <v>140</v>
      </c>
      <c r="D79" s="89"/>
      <c r="E79" s="49"/>
      <c r="F79" s="90">
        <v>3345</v>
      </c>
      <c r="G79" s="90">
        <v>3345</v>
      </c>
      <c r="H79" s="90">
        <v>3300</v>
      </c>
      <c r="I79" s="91">
        <f>H79</f>
        <v>3300</v>
      </c>
      <c r="J79" s="91">
        <f>I79</f>
        <v>3300</v>
      </c>
      <c r="K79" s="91">
        <f>J79</f>
        <v>3300</v>
      </c>
      <c r="L79" s="91">
        <f>K79</f>
        <v>3300</v>
      </c>
      <c r="M79" s="91">
        <f>L79</f>
        <v>3300</v>
      </c>
    </row>
    <row r="80" spans="3:15" ht="15.75" customHeight="1">
      <c r="C80" s="88" t="s">
        <v>141</v>
      </c>
      <c r="D80" s="89"/>
      <c r="E80" s="49"/>
      <c r="F80" s="90">
        <v>0</v>
      </c>
      <c r="G80" s="90">
        <v>0</v>
      </c>
      <c r="H80" s="90">
        <v>0</v>
      </c>
      <c r="I80" s="91">
        <v>0</v>
      </c>
      <c r="J80" s="91">
        <v>0</v>
      </c>
      <c r="K80" s="91">
        <v>0</v>
      </c>
      <c r="L80" s="91">
        <v>0</v>
      </c>
      <c r="M80" s="91">
        <v>0</v>
      </c>
    </row>
    <row r="81" spans="2:15" ht="15.75" customHeight="1">
      <c r="C81" s="88" t="s">
        <v>142</v>
      </c>
      <c r="D81" s="89"/>
      <c r="E81" s="49"/>
      <c r="F81" s="90">
        <v>3944802</v>
      </c>
      <c r="G81" s="90">
        <v>3958039</v>
      </c>
      <c r="H81" s="90">
        <f>'Sources &amp; Uses'!F14-H79</f>
        <v>6803518.40443628</v>
      </c>
      <c r="I81" s="91">
        <f ca="1">H81+I28</f>
        <v>6817155.1161162797</v>
      </c>
      <c r="J81" s="91">
        <f ca="1">I81+J28</f>
        <v>6832647.4774986794</v>
      </c>
      <c r="K81" s="91">
        <f ca="1">J81+K28</f>
        <v>6850020.1161563434</v>
      </c>
      <c r="L81" s="91">
        <f ca="1">K81+L28</f>
        <v>6869338.738831454</v>
      </c>
      <c r="M81" s="91">
        <f ca="1">L81+M28</f>
        <v>6890475.4023367176</v>
      </c>
    </row>
    <row r="82" spans="2:15" ht="15.75" customHeight="1">
      <c r="C82" s="88" t="s">
        <v>143</v>
      </c>
      <c r="D82" s="89"/>
      <c r="E82" s="49"/>
      <c r="F82" s="90">
        <v>-1563321</v>
      </c>
      <c r="G82" s="90">
        <v>-1285904</v>
      </c>
      <c r="H82" s="90">
        <f>-'Sources &amp; Uses'!E34</f>
        <v>-117184.95781211155</v>
      </c>
      <c r="I82" s="91">
        <f ca="1">H82+I24</f>
        <v>18274.59856209693</v>
      </c>
      <c r="J82" s="91">
        <f ca="1">I82+J24</f>
        <v>248866.77196728735</v>
      </c>
      <c r="K82" s="91">
        <f ca="1">J82+K24</f>
        <v>570777.20023299102</v>
      </c>
      <c r="L82" s="91">
        <f ca="1">K82+L24</f>
        <v>992992.87479362811</v>
      </c>
      <c r="M82" s="91">
        <f ca="1">L82+M24</f>
        <v>1506417.4885105765</v>
      </c>
    </row>
    <row r="83" spans="2:15" ht="15.75" customHeight="1">
      <c r="C83" s="88" t="s">
        <v>144</v>
      </c>
      <c r="D83" s="89"/>
      <c r="E83" s="101"/>
      <c r="F83" s="90">
        <v>-11422</v>
      </c>
      <c r="G83" s="90">
        <v>-8169</v>
      </c>
      <c r="H83" s="90">
        <v>0</v>
      </c>
      <c r="I83" s="91">
        <f>H83</f>
        <v>0</v>
      </c>
      <c r="J83" s="91">
        <f>I83</f>
        <v>0</v>
      </c>
      <c r="K83" s="91">
        <f>J83</f>
        <v>0</v>
      </c>
      <c r="L83" s="91">
        <f>K83</f>
        <v>0</v>
      </c>
      <c r="M83" s="91">
        <f>L83</f>
        <v>0</v>
      </c>
    </row>
    <row r="84" spans="2:15" ht="15.75" customHeight="1">
      <c r="C84" s="88" t="s">
        <v>145</v>
      </c>
      <c r="D84" s="89"/>
      <c r="E84" s="49"/>
      <c r="F84" s="90">
        <v>0</v>
      </c>
      <c r="G84" s="90">
        <v>0</v>
      </c>
      <c r="H84" s="90">
        <v>0</v>
      </c>
      <c r="I84" s="91">
        <f ca="1">H84+I109</f>
        <v>0</v>
      </c>
      <c r="J84" s="91">
        <f ca="1">I84+J109</f>
        <v>0</v>
      </c>
      <c r="K84" s="91">
        <f ca="1">J84+K109</f>
        <v>0</v>
      </c>
      <c r="L84" s="91">
        <f ca="1">K84+L109</f>
        <v>0</v>
      </c>
      <c r="M84" s="91">
        <f ca="1">L84+M109</f>
        <v>0</v>
      </c>
    </row>
    <row r="85" spans="2:15" ht="15.75" customHeight="1">
      <c r="C85" s="92" t="s">
        <v>146</v>
      </c>
      <c r="D85" s="93"/>
      <c r="E85" s="102"/>
      <c r="F85" s="100">
        <f t="shared" ref="F85:M85" si="17">SUM(F79:F84)</f>
        <v>2373404</v>
      </c>
      <c r="G85" s="100">
        <f t="shared" si="17"/>
        <v>2667311</v>
      </c>
      <c r="H85" s="100">
        <f t="shared" si="17"/>
        <v>6689633.4466241682</v>
      </c>
      <c r="I85" s="100">
        <f t="shared" ca="1" si="17"/>
        <v>6838729.7146783769</v>
      </c>
      <c r="J85" s="100">
        <f t="shared" ca="1" si="17"/>
        <v>7084814.2494659666</v>
      </c>
      <c r="K85" s="100">
        <f t="shared" ca="1" si="17"/>
        <v>7424097.3163893344</v>
      </c>
      <c r="L85" s="100">
        <f t="shared" ca="1" si="17"/>
        <v>7865631.6136250822</v>
      </c>
      <c r="M85" s="100">
        <f t="shared" ca="1" si="17"/>
        <v>8400192.8908472937</v>
      </c>
    </row>
    <row r="86" spans="2:15" ht="15.75" customHeight="1">
      <c r="C86" s="74" t="s">
        <v>147</v>
      </c>
      <c r="D86" s="97"/>
      <c r="E86" s="91"/>
      <c r="F86" s="91">
        <f t="shared" ref="F86:M86" si="18">SUM(F85,F76)</f>
        <v>6213601</v>
      </c>
      <c r="G86" s="91">
        <f t="shared" si="18"/>
        <v>6557411</v>
      </c>
      <c r="H86" s="91">
        <f t="shared" si="18"/>
        <v>13493990.781211155</v>
      </c>
      <c r="I86" s="91">
        <f t="shared" ca="1" si="18"/>
        <v>13746625.711604673</v>
      </c>
      <c r="J86" s="91">
        <f t="shared" ca="1" si="18"/>
        <v>14133924.29723284</v>
      </c>
      <c r="K86" s="91">
        <f t="shared" ca="1" si="18"/>
        <v>14530567.843343122</v>
      </c>
      <c r="L86" s="91">
        <f t="shared" ca="1" si="18"/>
        <v>15010908.573871072</v>
      </c>
      <c r="M86" s="91">
        <f t="shared" ca="1" si="18"/>
        <v>15532281.838695113</v>
      </c>
    </row>
    <row r="87" spans="2:15" ht="15.75" customHeight="1">
      <c r="C87" s="97"/>
      <c r="D87" s="97"/>
      <c r="E87" s="91"/>
      <c r="F87" s="91"/>
      <c r="G87" s="91"/>
      <c r="H87" s="91"/>
    </row>
    <row r="88" spans="2:15" ht="15.75" customHeight="1">
      <c r="C88" s="60" t="s">
        <v>148</v>
      </c>
      <c r="D88" s="60"/>
      <c r="E88" s="103"/>
      <c r="F88" s="103">
        <f t="shared" ref="F88:M88" si="19">F58-F86</f>
        <v>0</v>
      </c>
      <c r="G88" s="103">
        <f t="shared" si="19"/>
        <v>0</v>
      </c>
      <c r="H88" s="103">
        <f t="shared" si="19"/>
        <v>0</v>
      </c>
      <c r="I88" s="103">
        <f t="shared" ca="1" si="19"/>
        <v>0</v>
      </c>
      <c r="J88" s="103">
        <f t="shared" ca="1" si="19"/>
        <v>0</v>
      </c>
      <c r="K88" s="103">
        <f t="shared" ca="1" si="19"/>
        <v>0</v>
      </c>
      <c r="L88" s="103">
        <f t="shared" ca="1" si="19"/>
        <v>0</v>
      </c>
      <c r="M88" s="103">
        <f t="shared" ca="1" si="19"/>
        <v>0</v>
      </c>
    </row>
    <row r="89" spans="2:15" ht="15.75" customHeight="1">
      <c r="F89" s="91"/>
      <c r="G89" s="91"/>
      <c r="H89" s="91"/>
      <c r="J89" s="91"/>
      <c r="K89" s="91"/>
      <c r="L89" s="91"/>
      <c r="M89" s="91"/>
    </row>
    <row r="90" spans="2:15" ht="15.75" customHeight="1">
      <c r="B90" t="s">
        <v>0</v>
      </c>
      <c r="C90" s="57" t="s">
        <v>149</v>
      </c>
      <c r="D90" s="57"/>
      <c r="E90" s="31"/>
      <c r="F90" s="31"/>
      <c r="G90" s="31"/>
      <c r="H90" s="31"/>
      <c r="I90" s="31"/>
      <c r="J90" s="31"/>
      <c r="K90" s="31"/>
      <c r="L90" s="31"/>
      <c r="M90" s="31"/>
    </row>
    <row r="91" spans="2:15" ht="15.75" customHeight="1">
      <c r="C91" s="79" t="str">
        <f>C3</f>
        <v xml:space="preserve">Fiscal year  </v>
      </c>
      <c r="D91" s="79"/>
      <c r="E91" s="81"/>
      <c r="F91" s="81"/>
      <c r="G91" s="81"/>
      <c r="H91" s="81"/>
      <c r="I91" s="83">
        <f t="shared" ref="I91:M92" si="20">I3</f>
        <v>2026</v>
      </c>
      <c r="J91" s="83">
        <f t="shared" si="20"/>
        <v>2027</v>
      </c>
      <c r="K91" s="83">
        <f t="shared" si="20"/>
        <v>2028</v>
      </c>
      <c r="L91" s="83">
        <f t="shared" si="20"/>
        <v>2029</v>
      </c>
      <c r="M91" s="83">
        <f t="shared" si="20"/>
        <v>2030</v>
      </c>
    </row>
    <row r="92" spans="2:15" ht="15.75" customHeight="1">
      <c r="C92" s="6" t="str">
        <f>C4</f>
        <v>Fiscal year end date</v>
      </c>
      <c r="D92" s="6"/>
      <c r="E92" s="85"/>
      <c r="F92" s="85"/>
      <c r="G92" s="85"/>
      <c r="H92" s="85"/>
      <c r="I92" s="85">
        <f t="shared" si="20"/>
        <v>46387</v>
      </c>
      <c r="J92" s="85">
        <f t="shared" si="20"/>
        <v>46752</v>
      </c>
      <c r="K92" s="85">
        <f t="shared" si="20"/>
        <v>47118</v>
      </c>
      <c r="L92" s="85">
        <f t="shared" si="20"/>
        <v>47483</v>
      </c>
      <c r="M92" s="85">
        <f t="shared" si="20"/>
        <v>47848</v>
      </c>
    </row>
    <row r="94" spans="2:15" ht="15.75" customHeight="1">
      <c r="C94" t="s">
        <v>81</v>
      </c>
      <c r="E94" s="104"/>
      <c r="F94" s="104"/>
      <c r="G94" s="104"/>
      <c r="H94" s="104"/>
      <c r="I94" s="91">
        <f t="shared" ref="I94:M95" ca="1" si="21">I24</f>
        <v>135459.55637420848</v>
      </c>
      <c r="J94" s="91">
        <f t="shared" ca="1" si="21"/>
        <v>230592.17340519041</v>
      </c>
      <c r="K94" s="91">
        <f t="shared" ca="1" si="21"/>
        <v>321910.42826570367</v>
      </c>
      <c r="L94" s="91">
        <f t="shared" ca="1" si="21"/>
        <v>422215.6745606371</v>
      </c>
      <c r="M94" s="91">
        <f t="shared" ca="1" si="21"/>
        <v>513424.61371694854</v>
      </c>
      <c r="O94" s="72"/>
    </row>
    <row r="95" spans="2:15" ht="15.75" customHeight="1">
      <c r="C95" t="s">
        <v>150</v>
      </c>
      <c r="E95" s="104"/>
      <c r="F95" s="104"/>
      <c r="G95" s="104"/>
      <c r="H95" s="104"/>
      <c r="I95" s="91">
        <f t="shared" ca="1" si="21"/>
        <v>191602.72160978816</v>
      </c>
      <c r="J95" s="91">
        <f t="shared" ca="1" si="21"/>
        <v>190877.603031034</v>
      </c>
      <c r="K95" s="91">
        <f t="shared" ca="1" si="21"/>
        <v>198995.22733928062</v>
      </c>
      <c r="L95" s="91">
        <f t="shared" ca="1" si="21"/>
        <v>205833.00361425173</v>
      </c>
      <c r="M95" s="91">
        <f t="shared" ca="1" si="21"/>
        <v>214153.33542864953</v>
      </c>
    </row>
    <row r="96" spans="2:15" ht="15.75" customHeight="1">
      <c r="C96" t="s">
        <v>151</v>
      </c>
      <c r="E96" s="104"/>
      <c r="F96" s="104"/>
      <c r="G96" s="104"/>
      <c r="H96" s="104"/>
      <c r="I96" s="91">
        <f>I231</f>
        <v>17340.423286537691</v>
      </c>
      <c r="J96" s="91">
        <f>J231</f>
        <v>17340.423286537691</v>
      </c>
      <c r="K96" s="91">
        <f>K231</f>
        <v>17340.423286537691</v>
      </c>
      <c r="L96" s="91">
        <f>L231</f>
        <v>17340.423286537691</v>
      </c>
      <c r="M96" s="91">
        <f>M231</f>
        <v>17340.423286537691</v>
      </c>
    </row>
    <row r="97" spans="3:15" ht="15.75" customHeight="1">
      <c r="C97" t="s">
        <v>85</v>
      </c>
      <c r="E97" s="104"/>
      <c r="F97" s="104"/>
      <c r="G97" s="104"/>
      <c r="H97" s="104"/>
      <c r="I97" s="91">
        <f ca="1">I28</f>
        <v>13636.71168</v>
      </c>
      <c r="J97" s="91">
        <f ca="1">J28</f>
        <v>15492.361382399999</v>
      </c>
      <c r="K97" s="91">
        <f ca="1">K28</f>
        <v>17372.638657664</v>
      </c>
      <c r="L97" s="91">
        <f ca="1">L28</f>
        <v>19318.6226751104</v>
      </c>
      <c r="M97" s="91">
        <f ca="1">M28</f>
        <v>21136.663505263237</v>
      </c>
    </row>
    <row r="98" spans="3:15" ht="15.75" customHeight="1">
      <c r="C98" t="s">
        <v>152</v>
      </c>
      <c r="E98" s="91"/>
      <c r="F98" s="91"/>
      <c r="G98" s="91"/>
      <c r="H98" s="91"/>
      <c r="I98" s="91">
        <f ca="1">G45+G46+G47+G48-I45-I46-I47-I48</f>
        <v>-323762.27076157765</v>
      </c>
      <c r="J98" s="91">
        <f ca="1">I45+I46+I47+I48-J45-J46-J47-J48</f>
        <v>-394907.54720373062</v>
      </c>
      <c r="K98" s="91">
        <f ca="1">J45+J46+J47+J48-K45-K46-K47-K48</f>
        <v>-399578.95720667666</v>
      </c>
      <c r="L98" s="91">
        <f ca="1">K45+K46+K47+K48-L45-L46-L47-L48</f>
        <v>-414563.83101953182</v>
      </c>
      <c r="M98" s="91">
        <f ca="1">L45+L46+L47+L48-M45-M46-M47-M48</f>
        <v>-386914.27318956528</v>
      </c>
    </row>
    <row r="99" spans="3:15" ht="15.75" customHeight="1">
      <c r="C99" t="s">
        <v>153</v>
      </c>
      <c r="E99" s="91"/>
      <c r="F99" s="91"/>
      <c r="G99" s="91"/>
      <c r="H99" s="91"/>
      <c r="I99" s="91">
        <f ca="1">I61+I62+I63+I66-G61-G62-G63-G66</f>
        <v>156696.2742023645</v>
      </c>
      <c r="J99" s="91">
        <f ca="1">J61+J62+J63+J66-I61-I62-I63-I66</f>
        <v>190278.88583691139</v>
      </c>
      <c r="K99" s="91">
        <f ca="1">K61+K62+K63+K66-J61-J62-J63-J66</f>
        <v>192336.33941157628</v>
      </c>
      <c r="L99" s="91">
        <f ca="1">L61+L62+L63+L66-K61-K62-K63-K66</f>
        <v>199896.51650502312</v>
      </c>
      <c r="M99" s="91">
        <f ca="1">M61+M62+M63+M66-L61-L62-L63-L66</f>
        <v>186431.00740015646</v>
      </c>
    </row>
    <row r="100" spans="3:15" ht="15.75" customHeight="1">
      <c r="C100" t="s">
        <v>117</v>
      </c>
      <c r="I100" s="91">
        <f ca="1">-I57+G57</f>
        <v>-802.15911598360526</v>
      </c>
      <c r="J100" s="91">
        <f ca="1">-J57+I57</f>
        <v>-984.67847859448284</v>
      </c>
      <c r="K100" s="91">
        <f ca="1">-K57+J57</f>
        <v>-997.74680768043072</v>
      </c>
      <c r="L100" s="91">
        <f ca="1">-L57+K57</f>
        <v>-1032.6133101468604</v>
      </c>
      <c r="M100" s="91">
        <f ca="1">-M57+L57</f>
        <v>-964.72177714479949</v>
      </c>
    </row>
    <row r="101" spans="3:15" ht="15.75" customHeight="1">
      <c r="C101" t="s">
        <v>136</v>
      </c>
      <c r="I101" s="91">
        <f ca="1">I75-G75</f>
        <v>905.26536231845785</v>
      </c>
      <c r="J101" s="91">
        <f ca="1">J75-I75</f>
        <v>1111.2450160202898</v>
      </c>
      <c r="K101" s="91">
        <f ca="1">K75-J75</f>
        <v>1125.9930945861997</v>
      </c>
      <c r="L101" s="91">
        <f ca="1">L75-K75</f>
        <v>1165.341194432136</v>
      </c>
      <c r="M101" s="91">
        <f ca="1">M75-L75</f>
        <v>1088.7231619285649</v>
      </c>
      <c r="O101" s="72"/>
    </row>
    <row r="102" spans="3:15" ht="15.75" customHeight="1">
      <c r="C102" s="105" t="s">
        <v>154</v>
      </c>
      <c r="D102" s="105"/>
      <c r="I102" s="100">
        <f ca="1">SUM(I94:I101)</f>
        <v>191076.52263765607</v>
      </c>
      <c r="J102" s="100">
        <f ca="1">SUM(J94:J101)</f>
        <v>249800.46627576865</v>
      </c>
      <c r="K102" s="100">
        <f ca="1">SUM(K94:K101)</f>
        <v>348504.34604099125</v>
      </c>
      <c r="L102" s="100">
        <f ca="1">SUM(L94:L101)</f>
        <v>450173.13750631339</v>
      </c>
      <c r="M102" s="100">
        <f ca="1">SUM(M94:M101)</f>
        <v>565695.77153277397</v>
      </c>
    </row>
    <row r="103" spans="3:15" ht="15.75" customHeight="1">
      <c r="C103" t="s">
        <v>155</v>
      </c>
      <c r="I103" s="91">
        <f ca="1">-Drivers!H53</f>
        <v>0</v>
      </c>
      <c r="J103" s="91">
        <f ca="1">-Drivers!I53</f>
        <v>-50000</v>
      </c>
      <c r="K103" s="91">
        <f ca="1">-Drivers!J53</f>
        <v>-50000</v>
      </c>
      <c r="L103" s="91">
        <f ca="1">-Drivers!K53</f>
        <v>-75000</v>
      </c>
      <c r="M103" s="91">
        <f ca="1">-Drivers!L53</f>
        <v>-75000</v>
      </c>
      <c r="O103" t="s">
        <v>156</v>
      </c>
    </row>
    <row r="104" spans="3:15" ht="15.75" customHeight="1">
      <c r="C104" t="s">
        <v>157</v>
      </c>
      <c r="I104" s="91">
        <f ca="1">-I120</f>
        <v>-92673.222125745902</v>
      </c>
      <c r="J104" s="91">
        <f ca="1">-J120</f>
        <v>-105283.96297687823</v>
      </c>
      <c r="K104" s="91">
        <f ca="1">-K120</f>
        <v>-118062.0694352039</v>
      </c>
      <c r="L104" s="91">
        <f ca="1">-L120</f>
        <v>-131286.70990087089</v>
      </c>
      <c r="M104" s="91">
        <f ca="1">-M120</f>
        <v>-143641.86601475516</v>
      </c>
    </row>
    <row r="105" spans="3:15" ht="15.75" customHeight="1">
      <c r="C105" s="72" t="s">
        <v>158</v>
      </c>
      <c r="D105" s="105"/>
      <c r="I105" s="100">
        <f ca="1">I104+I103+I106</f>
        <v>-119673.2221257459</v>
      </c>
      <c r="J105" s="100">
        <f ca="1">J104+J103+J106</f>
        <v>-182283.96297687822</v>
      </c>
      <c r="K105" s="100">
        <f ca="1">K104+K103+K106</f>
        <v>-195062.06943520391</v>
      </c>
      <c r="L105" s="100">
        <f ca="1">L104+L103+L106</f>
        <v>-233286.70990087089</v>
      </c>
      <c r="M105" s="100">
        <f ca="1">M104+M103+M106</f>
        <v>-245641.86601475516</v>
      </c>
    </row>
    <row r="106" spans="3:15" ht="15.75" customHeight="1">
      <c r="C106" t="s">
        <v>159</v>
      </c>
      <c r="I106" s="90">
        <v>-27000</v>
      </c>
      <c r="J106" s="90">
        <v>-27000</v>
      </c>
      <c r="K106" s="90">
        <v>-27000</v>
      </c>
      <c r="L106" s="90">
        <v>-27000</v>
      </c>
      <c r="M106" s="90">
        <v>-27000</v>
      </c>
      <c r="O106" t="s">
        <v>160</v>
      </c>
    </row>
    <row r="107" spans="3:15" ht="15.75" customHeight="1">
      <c r="C107" t="s">
        <v>131</v>
      </c>
      <c r="I107" s="91">
        <f>-H68</f>
        <v>-36367.745527896688</v>
      </c>
      <c r="J107" s="91">
        <f ca="1">-I68</f>
        <v>-36004.068072617723</v>
      </c>
      <c r="K107" s="91">
        <f ca="1">-J68</f>
        <v>-35194.027391891548</v>
      </c>
      <c r="L107" s="91">
        <f ca="1">-K68</f>
        <v>-34392.087117972638</v>
      </c>
      <c r="M107" s="91">
        <f ca="1">-L68</f>
        <v>-33048.166246792905</v>
      </c>
    </row>
    <row r="108" spans="3:15" ht="15.75" customHeight="1">
      <c r="C108" t="s">
        <v>138</v>
      </c>
      <c r="I108" s="91">
        <f ca="1">I224</f>
        <v>9964.4450159865155</v>
      </c>
      <c r="J108" s="91">
        <f ca="1">J224</f>
        <v>13487.564773727296</v>
      </c>
      <c r="K108" s="91">
        <f ca="1">K224</f>
        <v>-18248.24921389579</v>
      </c>
      <c r="L108" s="91">
        <f ca="1">L224</f>
        <v>-5203.7605758180216</v>
      </c>
      <c r="M108" s="91">
        <f ca="1">M224</f>
        <v>0</v>
      </c>
    </row>
    <row r="109" spans="3:15" ht="18" customHeight="1">
      <c r="C109" t="s">
        <v>161</v>
      </c>
      <c r="H109" s="106"/>
      <c r="I109" s="91">
        <f ca="1">-Drivers!H58</f>
        <v>0</v>
      </c>
      <c r="J109" s="91">
        <f ca="1">-Drivers!I58</f>
        <v>0</v>
      </c>
      <c r="K109" s="91">
        <f ca="1">-Drivers!J58</f>
        <v>0</v>
      </c>
      <c r="L109" s="91">
        <f ca="1">-Drivers!K58</f>
        <v>0</v>
      </c>
      <c r="M109" s="91">
        <f ca="1">-Drivers!L58</f>
        <v>0</v>
      </c>
      <c r="O109" t="s">
        <v>162</v>
      </c>
    </row>
    <row r="110" spans="3:15" ht="15.75" customHeight="1">
      <c r="C110" t="s">
        <v>163</v>
      </c>
      <c r="I110" s="91">
        <v>0</v>
      </c>
      <c r="J110" s="91">
        <v>0</v>
      </c>
      <c r="K110" s="91">
        <v>0</v>
      </c>
      <c r="L110" s="91">
        <v>0</v>
      </c>
      <c r="M110" s="91">
        <v>0</v>
      </c>
    </row>
    <row r="111" spans="3:15" ht="15.75" customHeight="1">
      <c r="C111" s="72" t="s">
        <v>164</v>
      </c>
      <c r="D111" s="105"/>
      <c r="I111" s="91">
        <f ca="1">SUM(I107:I110)+I112</f>
        <v>-71403.300511910173</v>
      </c>
      <c r="J111" s="91">
        <f ca="1">SUM(J107:J110)+J112</f>
        <v>-67516.503298890428</v>
      </c>
      <c r="K111" s="91">
        <f ca="1">SUM(K107:K110)+K112</f>
        <v>-153442.27660578734</v>
      </c>
      <c r="L111" s="91">
        <f ca="1">SUM(L107:L110)+L112</f>
        <v>-179595.84769379065</v>
      </c>
      <c r="M111" s="91">
        <f ca="1">SUM(M107:M110)+M112</f>
        <v>-218048.16624679291</v>
      </c>
    </row>
    <row r="112" spans="3:15" ht="15.75" customHeight="1">
      <c r="C112" t="s">
        <v>165</v>
      </c>
      <c r="I112" s="91">
        <f ca="1">-Drivers!H63</f>
        <v>-45000</v>
      </c>
      <c r="J112" s="91">
        <f ca="1">-Drivers!I63</f>
        <v>-45000</v>
      </c>
      <c r="K112" s="91">
        <f ca="1">-Drivers!J63</f>
        <v>-100000</v>
      </c>
      <c r="L112" s="91">
        <f ca="1">-Drivers!K63</f>
        <v>-140000</v>
      </c>
      <c r="M112" s="91">
        <f ca="1">-Drivers!L63</f>
        <v>-185000</v>
      </c>
      <c r="O112" t="s">
        <v>166</v>
      </c>
    </row>
    <row r="113" spans="2:17" ht="15.75" customHeight="1">
      <c r="C113" s="72" t="s">
        <v>167</v>
      </c>
      <c r="D113" s="105"/>
      <c r="I113" s="94">
        <f ca="1">I102+I105+I111</f>
        <v>0</v>
      </c>
      <c r="J113" s="94">
        <f ca="1">J102+J105+J111</f>
        <v>0</v>
      </c>
      <c r="K113" s="94">
        <f ca="1">K102+K105+K111</f>
        <v>0</v>
      </c>
      <c r="L113" s="94">
        <f ca="1">L102+L105+L111</f>
        <v>37290.579911651846</v>
      </c>
      <c r="M113" s="94">
        <f ca="1">M102+M105+M111</f>
        <v>102005.7392712259</v>
      </c>
    </row>
    <row r="115" spans="2:17" ht="15.75" customHeight="1">
      <c r="B115" t="s">
        <v>0</v>
      </c>
      <c r="C115" s="57" t="s">
        <v>168</v>
      </c>
      <c r="D115" s="57"/>
      <c r="E115" s="6"/>
      <c r="F115" s="6"/>
      <c r="G115" s="6"/>
      <c r="H115" s="6"/>
      <c r="I115" s="6"/>
      <c r="J115" s="6"/>
      <c r="K115" s="6"/>
      <c r="L115" s="6"/>
      <c r="M115" s="6"/>
    </row>
    <row r="116" spans="2:17" ht="15.75" customHeight="1">
      <c r="C116" s="79" t="str">
        <f>C3</f>
        <v xml:space="preserve">Fiscal year  </v>
      </c>
      <c r="D116" s="79"/>
      <c r="E116" s="81">
        <f>E3</f>
        <v>2023</v>
      </c>
      <c r="F116" s="81">
        <f>F3</f>
        <v>2024</v>
      </c>
      <c r="G116" s="81"/>
      <c r="H116" s="81">
        <f t="shared" ref="H116:M117" si="22">H3</f>
        <v>2025</v>
      </c>
      <c r="I116" s="83">
        <f t="shared" si="22"/>
        <v>2026</v>
      </c>
      <c r="J116" s="83">
        <f t="shared" si="22"/>
        <v>2027</v>
      </c>
      <c r="K116" s="83">
        <f t="shared" si="22"/>
        <v>2028</v>
      </c>
      <c r="L116" s="83">
        <f t="shared" si="22"/>
        <v>2029</v>
      </c>
      <c r="M116" s="83">
        <f t="shared" si="22"/>
        <v>2030</v>
      </c>
    </row>
    <row r="117" spans="2:17" ht="15.75" customHeight="1">
      <c r="C117" s="6" t="str">
        <f>C4</f>
        <v>Fiscal year end date</v>
      </c>
      <c r="D117" s="6"/>
      <c r="E117" s="85">
        <f>E4</f>
        <v>45291</v>
      </c>
      <c r="F117" s="85">
        <f>F4</f>
        <v>45657</v>
      </c>
      <c r="G117" s="85"/>
      <c r="H117" s="85">
        <f t="shared" si="22"/>
        <v>46022</v>
      </c>
      <c r="I117" s="85">
        <f t="shared" si="22"/>
        <v>46387</v>
      </c>
      <c r="J117" s="85">
        <f t="shared" si="22"/>
        <v>46752</v>
      </c>
      <c r="K117" s="85">
        <f t="shared" si="22"/>
        <v>47118</v>
      </c>
      <c r="L117" s="85">
        <f t="shared" si="22"/>
        <v>47483</v>
      </c>
      <c r="M117" s="85">
        <f t="shared" si="22"/>
        <v>47848</v>
      </c>
    </row>
    <row r="118" spans="2:17" ht="15.75" customHeight="1">
      <c r="C118" s="72"/>
      <c r="D118" s="72"/>
      <c r="I118" s="306" t="s">
        <v>169</v>
      </c>
      <c r="J118" s="306"/>
      <c r="K118" s="306"/>
      <c r="L118" s="306"/>
      <c r="M118" s="306"/>
    </row>
    <row r="119" spans="2:17" ht="15.75" customHeight="1">
      <c r="C119" s="95" t="s">
        <v>170</v>
      </c>
      <c r="D119" s="95"/>
      <c r="H119" s="91">
        <f>F51</f>
        <v>568607</v>
      </c>
      <c r="I119" s="91">
        <f>H122</f>
        <v>579971</v>
      </c>
      <c r="J119" s="91">
        <f ca="1">I122</f>
        <v>602464.50051595771</v>
      </c>
      <c r="K119" s="91">
        <f ca="1">J122</f>
        <v>628018.86046180199</v>
      </c>
      <c r="L119" s="91">
        <f ca="1">K122</f>
        <v>656674.70255772525</v>
      </c>
      <c r="M119" s="91">
        <f ca="1">L122</f>
        <v>688540.40884434443</v>
      </c>
    </row>
    <row r="120" spans="2:17" ht="15.75" customHeight="1">
      <c r="C120" s="44" t="s">
        <v>171</v>
      </c>
      <c r="D120" s="44"/>
      <c r="E120" s="49"/>
      <c r="F120" s="49"/>
      <c r="G120" s="49"/>
      <c r="H120" s="107">
        <v>82400</v>
      </c>
      <c r="I120" s="91">
        <f ca="1">($H$120/$H$9)*I9</f>
        <v>92673.222125745902</v>
      </c>
      <c r="J120" s="91">
        <f ca="1">($H$120/$H$9)*J9</f>
        <v>105283.96297687823</v>
      </c>
      <c r="K120" s="91">
        <f ca="1">($H$120/$H$9)*K9</f>
        <v>118062.0694352039</v>
      </c>
      <c r="L120" s="91">
        <f ca="1">($H$120/$H$9)*L9</f>
        <v>131286.70990087089</v>
      </c>
      <c r="M120" s="91">
        <f ca="1">($H$120/$H$9)*M9</f>
        <v>143641.86601475516</v>
      </c>
      <c r="O120" t="s">
        <v>172</v>
      </c>
    </row>
    <row r="121" spans="2:17" ht="15.75" customHeight="1">
      <c r="C121" s="108" t="s">
        <v>173</v>
      </c>
      <c r="D121" s="108"/>
      <c r="E121" s="109"/>
      <c r="F121" s="109"/>
      <c r="G121" s="109"/>
      <c r="H121" s="107">
        <v>-62400</v>
      </c>
      <c r="I121" s="110">
        <f ca="1">-I120*I124</f>
        <v>-70179.721609788161</v>
      </c>
      <c r="J121" s="110">
        <f ca="1">-J120*J124</f>
        <v>-79729.603031033999</v>
      </c>
      <c r="K121" s="110">
        <f ca="1">-K120*K124</f>
        <v>-89406.227339280624</v>
      </c>
      <c r="L121" s="110">
        <f ca="1">-L120*L124</f>
        <v>-99421.003614251735</v>
      </c>
      <c r="M121" s="110">
        <f ca="1">-M120*M124</f>
        <v>-108777.33542864953</v>
      </c>
      <c r="O121" t="s">
        <v>174</v>
      </c>
    </row>
    <row r="122" spans="2:17" ht="15.75" customHeight="1">
      <c r="C122" s="111" t="s">
        <v>175</v>
      </c>
      <c r="D122" s="111"/>
      <c r="E122" s="102"/>
      <c r="F122" s="102"/>
      <c r="G122" s="102"/>
      <c r="H122" s="100">
        <f>G51</f>
        <v>579971</v>
      </c>
      <c r="I122" s="100">
        <f ca="1">SUM(I119:I121)</f>
        <v>602464.50051595771</v>
      </c>
      <c r="J122" s="100">
        <f ca="1">SUM(J119:J121)</f>
        <v>628018.86046180199</v>
      </c>
      <c r="K122" s="100">
        <f ca="1">SUM(K119:K121)</f>
        <v>656674.70255772525</v>
      </c>
      <c r="L122" s="100">
        <f ca="1">SUM(L119:L121)</f>
        <v>688540.40884434443</v>
      </c>
      <c r="M122" s="100">
        <f ca="1">SUM(M119:M121)</f>
        <v>723404.93943045009</v>
      </c>
    </row>
    <row r="123" spans="2:17" ht="15.75" customHeight="1">
      <c r="C123" s="95"/>
      <c r="D123" s="95"/>
      <c r="O123" s="26"/>
    </row>
    <row r="124" spans="2:17" ht="16.5" customHeight="1">
      <c r="C124" s="95" t="s">
        <v>176</v>
      </c>
      <c r="D124" s="95"/>
      <c r="E124" s="112"/>
      <c r="F124" s="112"/>
      <c r="G124" s="112"/>
      <c r="H124" s="113">
        <f>-H121/H120</f>
        <v>0.75728155339805825</v>
      </c>
      <c r="I124" s="42">
        <f>H124</f>
        <v>0.75728155339805825</v>
      </c>
      <c r="J124" s="42">
        <f>I124</f>
        <v>0.75728155339805825</v>
      </c>
      <c r="K124" s="42">
        <f>J124</f>
        <v>0.75728155339805825</v>
      </c>
      <c r="L124" s="42">
        <f>K124</f>
        <v>0.75728155339805825</v>
      </c>
      <c r="M124" s="42">
        <f>L124</f>
        <v>0.75728155339805825</v>
      </c>
    </row>
    <row r="125" spans="2:17" ht="15.75" customHeight="1">
      <c r="C125" s="95"/>
      <c r="D125" s="95"/>
      <c r="E125" s="112"/>
      <c r="F125" s="112"/>
      <c r="G125" s="112"/>
      <c r="H125" s="112"/>
      <c r="I125" s="42"/>
      <c r="J125" s="42"/>
      <c r="K125" s="42"/>
      <c r="L125" s="42"/>
      <c r="M125" s="42"/>
      <c r="Q125" s="114"/>
    </row>
    <row r="126" spans="2:17" ht="15.75" customHeight="1">
      <c r="B126" t="s">
        <v>0</v>
      </c>
      <c r="C126" s="115" t="s">
        <v>177</v>
      </c>
      <c r="D126" s="115"/>
      <c r="E126" s="116"/>
      <c r="F126" s="116"/>
      <c r="G126" s="116"/>
      <c r="H126" s="116"/>
      <c r="I126" s="117"/>
      <c r="J126" s="117"/>
      <c r="K126" s="117"/>
      <c r="L126" s="117"/>
      <c r="M126" s="117"/>
      <c r="Q126" s="114"/>
    </row>
    <row r="127" spans="2:17" ht="15.75" customHeight="1">
      <c r="C127" s="95" t="s">
        <v>178</v>
      </c>
      <c r="D127" s="95"/>
      <c r="E127" s="91"/>
      <c r="F127" s="91"/>
      <c r="G127" s="91"/>
      <c r="H127" s="49">
        <f>H25+H121</f>
        <v>131264</v>
      </c>
      <c r="I127" s="49">
        <v>121423</v>
      </c>
      <c r="J127" s="49">
        <v>111148</v>
      </c>
      <c r="K127" s="49">
        <v>109589</v>
      </c>
      <c r="L127" s="49">
        <v>106412</v>
      </c>
      <c r="M127" s="49">
        <v>105376</v>
      </c>
      <c r="O127" t="s">
        <v>179</v>
      </c>
      <c r="Q127" s="114"/>
    </row>
    <row r="128" spans="2:17" ht="15.75" customHeight="1">
      <c r="C128" s="44" t="s">
        <v>180</v>
      </c>
      <c r="D128" s="44"/>
      <c r="E128" s="118"/>
      <c r="F128" s="118"/>
      <c r="G128" s="118"/>
      <c r="H128" s="118"/>
      <c r="I128" s="42">
        <f ca="1">I127/I9</f>
        <v>1.7808252143085568E-2</v>
      </c>
      <c r="J128" s="42">
        <f ca="1">J127/J9</f>
        <v>1.4348748684144303E-2</v>
      </c>
      <c r="K128" s="42">
        <f ca="1">K127/K9</f>
        <v>1.261627576092529E-2</v>
      </c>
      <c r="L128" s="42">
        <f ca="1">L127/L9</f>
        <v>1.1016520358575914E-2</v>
      </c>
      <c r="M128" s="42">
        <f ca="1">M127/M9</f>
        <v>9.9709209046887036E-3</v>
      </c>
      <c r="Q128" s="114"/>
    </row>
    <row r="129" spans="2:17" ht="15.75" customHeight="1">
      <c r="C129" s="97" t="s">
        <v>181</v>
      </c>
      <c r="D129" s="97"/>
      <c r="E129" s="102"/>
      <c r="F129" s="102"/>
      <c r="G129" s="102"/>
      <c r="H129" s="102"/>
      <c r="I129" s="98">
        <f ca="1">I127-I121</f>
        <v>191602.72160978816</v>
      </c>
      <c r="J129" s="98">
        <f ca="1">J127-J121</f>
        <v>190877.603031034</v>
      </c>
      <c r="K129" s="98">
        <f ca="1">K127-K121</f>
        <v>198995.22733928062</v>
      </c>
      <c r="L129" s="98">
        <f ca="1">L127-L121</f>
        <v>205833.00361425173</v>
      </c>
      <c r="M129" s="98">
        <f ca="1">M127-M121</f>
        <v>214153.33542864953</v>
      </c>
      <c r="Q129" s="114"/>
    </row>
    <row r="130" spans="2:17" ht="15.75" customHeight="1">
      <c r="J130" s="91"/>
      <c r="K130" s="91"/>
      <c r="L130" s="91"/>
      <c r="M130" s="91"/>
    </row>
    <row r="131" spans="2:17" ht="15.75" customHeight="1">
      <c r="B131" t="s">
        <v>0</v>
      </c>
      <c r="C131" s="119" t="s">
        <v>182</v>
      </c>
      <c r="D131" s="119"/>
      <c r="E131" s="120"/>
      <c r="F131" s="120"/>
      <c r="G131" s="120"/>
      <c r="H131" s="120"/>
      <c r="I131" s="121">
        <f>I3</f>
        <v>2026</v>
      </c>
      <c r="J131" s="121">
        <f>J3</f>
        <v>2027</v>
      </c>
      <c r="K131" s="121">
        <f>K3</f>
        <v>2028</v>
      </c>
      <c r="L131" s="121">
        <f>L3</f>
        <v>2029</v>
      </c>
      <c r="M131" s="121">
        <f>M3</f>
        <v>2030</v>
      </c>
    </row>
    <row r="132" spans="2:17" ht="15.75" customHeight="1">
      <c r="C132" s="95" t="s">
        <v>170</v>
      </c>
      <c r="D132" s="95"/>
      <c r="H132" s="91">
        <f>F82</f>
        <v>-1563321</v>
      </c>
      <c r="I132" s="91">
        <f>H136</f>
        <v>-1285905</v>
      </c>
      <c r="J132" s="91">
        <f ca="1">I136</f>
        <v>-1150445.4436257915</v>
      </c>
      <c r="K132" s="91">
        <f ca="1">J136</f>
        <v>-919853.270220601</v>
      </c>
      <c r="L132" s="91">
        <f ca="1">K136</f>
        <v>-597942.84195489739</v>
      </c>
      <c r="M132" s="91">
        <f ca="1">L136</f>
        <v>-175727.16739426029</v>
      </c>
    </row>
    <row r="133" spans="2:17" ht="15.75" customHeight="1">
      <c r="C133" s="44" t="s">
        <v>183</v>
      </c>
      <c r="D133" s="44"/>
      <c r="E133" s="101"/>
      <c r="F133" s="101"/>
      <c r="G133" s="101"/>
      <c r="H133" s="91">
        <f t="shared" ref="H133:M133" si="23">H24</f>
        <v>277416</v>
      </c>
      <c r="I133" s="91">
        <f t="shared" ca="1" si="23"/>
        <v>135459.55637420848</v>
      </c>
      <c r="J133" s="91">
        <f t="shared" ca="1" si="23"/>
        <v>230592.17340519041</v>
      </c>
      <c r="K133" s="91">
        <f t="shared" ca="1" si="23"/>
        <v>321910.42826570367</v>
      </c>
      <c r="L133" s="91">
        <f t="shared" ca="1" si="23"/>
        <v>422215.6745606371</v>
      </c>
      <c r="M133" s="91">
        <f t="shared" ca="1" si="23"/>
        <v>513424.61371694854</v>
      </c>
    </row>
    <row r="134" spans="2:17" ht="15.75" customHeight="1">
      <c r="C134" s="44" t="s">
        <v>184</v>
      </c>
      <c r="D134" s="44"/>
      <c r="E134" s="49"/>
      <c r="F134" s="49"/>
      <c r="G134" s="49"/>
      <c r="H134" s="91">
        <f t="shared" ref="H134:M134" si="24">-H110</f>
        <v>0</v>
      </c>
      <c r="I134" s="91">
        <f t="shared" si="24"/>
        <v>0</v>
      </c>
      <c r="J134" s="91">
        <f t="shared" si="24"/>
        <v>0</v>
      </c>
      <c r="K134" s="91">
        <f t="shared" si="24"/>
        <v>0</v>
      </c>
      <c r="L134" s="91">
        <f t="shared" si="24"/>
        <v>0</v>
      </c>
      <c r="M134" s="91">
        <f t="shared" si="24"/>
        <v>0</v>
      </c>
    </row>
    <row r="135" spans="2:17" ht="15.75" customHeight="1">
      <c r="C135" s="108" t="s">
        <v>185</v>
      </c>
      <c r="D135" s="108"/>
      <c r="E135" s="109"/>
      <c r="F135" s="109"/>
      <c r="G135" s="109"/>
      <c r="H135" s="110">
        <v>0</v>
      </c>
      <c r="I135" s="110">
        <v>0</v>
      </c>
      <c r="J135" s="110">
        <v>0</v>
      </c>
      <c r="K135" s="110">
        <v>0</v>
      </c>
      <c r="L135" s="110">
        <v>0</v>
      </c>
      <c r="M135" s="110">
        <v>0</v>
      </c>
    </row>
    <row r="136" spans="2:17" ht="15.75" customHeight="1">
      <c r="C136" s="111" t="s">
        <v>175</v>
      </c>
      <c r="D136" s="111"/>
      <c r="E136" s="98"/>
      <c r="F136" s="98"/>
      <c r="G136" s="98"/>
      <c r="H136" s="98">
        <f t="shared" ref="H136:M136" si="25">SUM(H132:H135)</f>
        <v>-1285905</v>
      </c>
      <c r="I136" s="98">
        <f t="shared" ca="1" si="25"/>
        <v>-1150445.4436257915</v>
      </c>
      <c r="J136" s="98">
        <f t="shared" ca="1" si="25"/>
        <v>-919853.270220601</v>
      </c>
      <c r="K136" s="98">
        <f t="shared" ca="1" si="25"/>
        <v>-597942.84195489739</v>
      </c>
      <c r="L136" s="98">
        <f t="shared" ca="1" si="25"/>
        <v>-175727.16739426029</v>
      </c>
      <c r="M136" s="98">
        <f t="shared" ca="1" si="25"/>
        <v>337697.44632268825</v>
      </c>
    </row>
    <row r="137" spans="2:17" ht="15.75" customHeight="1">
      <c r="F137" s="104"/>
      <c r="G137" s="104"/>
      <c r="H137" s="104"/>
    </row>
    <row r="138" spans="2:17" ht="15.75" customHeight="1">
      <c r="B138" t="s">
        <v>0</v>
      </c>
      <c r="C138" s="57" t="s">
        <v>186</v>
      </c>
      <c r="D138" s="57"/>
      <c r="E138" s="6"/>
      <c r="F138" s="6"/>
      <c r="G138" s="6"/>
      <c r="H138" s="6"/>
      <c r="I138" s="6"/>
      <c r="J138" s="6"/>
      <c r="K138" s="6"/>
      <c r="L138" s="6"/>
      <c r="M138" s="6"/>
    </row>
    <row r="139" spans="2:17" ht="15.75" customHeight="1">
      <c r="C139" s="79" t="str">
        <f>C3</f>
        <v xml:space="preserve">Fiscal year  </v>
      </c>
      <c r="D139" s="79"/>
      <c r="E139" s="81">
        <f>E3</f>
        <v>2023</v>
      </c>
      <c r="F139" s="81">
        <f>F3</f>
        <v>2024</v>
      </c>
      <c r="G139" s="81"/>
      <c r="H139" s="81">
        <f t="shared" ref="H139:M140" si="26">H3</f>
        <v>2025</v>
      </c>
      <c r="I139" s="83">
        <f t="shared" si="26"/>
        <v>2026</v>
      </c>
      <c r="J139" s="83">
        <f t="shared" si="26"/>
        <v>2027</v>
      </c>
      <c r="K139" s="83">
        <f t="shared" si="26"/>
        <v>2028</v>
      </c>
      <c r="L139" s="83">
        <f t="shared" si="26"/>
        <v>2029</v>
      </c>
      <c r="M139" s="83">
        <f t="shared" si="26"/>
        <v>2030</v>
      </c>
    </row>
    <row r="140" spans="2:17" ht="15.75" customHeight="1">
      <c r="C140" s="6" t="str">
        <f>C4</f>
        <v>Fiscal year end date</v>
      </c>
      <c r="D140" s="6"/>
      <c r="E140" s="85">
        <f>E4</f>
        <v>45291</v>
      </c>
      <c r="F140" s="85">
        <f>F4</f>
        <v>45657</v>
      </c>
      <c r="G140" s="85"/>
      <c r="H140" s="85">
        <f t="shared" si="26"/>
        <v>46022</v>
      </c>
      <c r="I140" s="85">
        <f t="shared" si="26"/>
        <v>46387</v>
      </c>
      <c r="J140" s="85">
        <f t="shared" si="26"/>
        <v>46752</v>
      </c>
      <c r="K140" s="85">
        <f t="shared" si="26"/>
        <v>47118</v>
      </c>
      <c r="L140" s="85">
        <f t="shared" si="26"/>
        <v>47483</v>
      </c>
      <c r="M140" s="85">
        <f t="shared" si="26"/>
        <v>47848</v>
      </c>
    </row>
    <row r="141" spans="2:17" ht="15.75" customHeight="1">
      <c r="C141" s="72"/>
      <c r="D141" s="72"/>
    </row>
    <row r="142" spans="2:17" ht="15.75" customHeight="1">
      <c r="C142" s="26" t="s">
        <v>187</v>
      </c>
      <c r="D142" s="26"/>
    </row>
    <row r="143" spans="2:17" ht="15.75" customHeight="1">
      <c r="C143" s="44" t="s">
        <v>188</v>
      </c>
      <c r="D143" s="44"/>
      <c r="I143" s="91">
        <f>H44</f>
        <v>100000</v>
      </c>
      <c r="J143" s="91">
        <f ca="1">I44</f>
        <v>100000</v>
      </c>
      <c r="K143" s="91">
        <f ca="1">J44</f>
        <v>100000</v>
      </c>
      <c r="L143" s="91">
        <f ca="1">K44</f>
        <v>100000</v>
      </c>
      <c r="M143" s="91">
        <f ca="1">L44</f>
        <v>137290.57991165185</v>
      </c>
    </row>
    <row r="144" spans="2:17" ht="15.75" customHeight="1">
      <c r="C144" s="44" t="s">
        <v>189</v>
      </c>
      <c r="D144" s="44"/>
      <c r="I144" s="49">
        <v>-100000</v>
      </c>
      <c r="J144" s="49">
        <v>-100000</v>
      </c>
      <c r="K144" s="49">
        <v>-100000</v>
      </c>
      <c r="L144" s="49">
        <v>-100000</v>
      </c>
      <c r="M144" s="49">
        <v>-100000</v>
      </c>
    </row>
    <row r="145" spans="2:13" ht="15.75" customHeight="1">
      <c r="C145" s="108" t="s">
        <v>190</v>
      </c>
      <c r="D145" s="108"/>
      <c r="E145" s="122"/>
      <c r="F145" s="122"/>
      <c r="G145" s="122"/>
      <c r="H145" s="122"/>
      <c r="I145" s="110">
        <f ca="1">I102+I105+I107+I109+I110+I112</f>
        <v>-9964.4450159865155</v>
      </c>
      <c r="J145" s="110">
        <f ca="1">J102+J105+J107+J109+J110+J112</f>
        <v>-13487.564773727296</v>
      </c>
      <c r="K145" s="110">
        <f ca="1">K102+K105+K107+K109+K110+K112</f>
        <v>18248.24921389579</v>
      </c>
      <c r="L145" s="110">
        <f ca="1">L102+L105+L107+L109+L110+L112</f>
        <v>42494.340487469861</v>
      </c>
      <c r="M145" s="110">
        <f ca="1">M102+M105+M107+M109+M110+M112</f>
        <v>102005.73927122593</v>
      </c>
    </row>
    <row r="146" spans="2:13" ht="15.75" customHeight="1">
      <c r="C146" s="111" t="s">
        <v>191</v>
      </c>
      <c r="D146" s="111"/>
      <c r="I146" s="98">
        <f ca="1">SUM(I143:I145)</f>
        <v>-9964.4450159865155</v>
      </c>
      <c r="J146" s="98">
        <f ca="1">SUM(J143:J145)</f>
        <v>-13487.564773727296</v>
      </c>
      <c r="K146" s="98">
        <f ca="1">SUM(K143:K145)</f>
        <v>18248.24921389579</v>
      </c>
      <c r="L146" s="98">
        <f ca="1">SUM(L143:L145)</f>
        <v>42494.340487469861</v>
      </c>
      <c r="M146" s="98">
        <f ca="1">SUM(M143:M145)</f>
        <v>139296.31918287778</v>
      </c>
    </row>
    <row r="147" spans="2:13" ht="15.75" customHeight="1">
      <c r="C147" s="44"/>
      <c r="D147" s="44"/>
      <c r="I147" s="123"/>
      <c r="J147" s="123"/>
      <c r="K147" s="123"/>
      <c r="L147" s="123"/>
      <c r="M147" s="123"/>
    </row>
    <row r="148" spans="2:13" ht="15.75" customHeight="1">
      <c r="C148" s="72" t="s">
        <v>192</v>
      </c>
      <c r="D148" s="72"/>
    </row>
    <row r="149" spans="2:13" ht="15.75" customHeight="1">
      <c r="C149" s="44" t="s">
        <v>170</v>
      </c>
      <c r="D149" s="44"/>
      <c r="I149" s="54">
        <f>G77</f>
        <v>0</v>
      </c>
      <c r="J149" s="91">
        <f ca="1">I152</f>
        <v>9964.4450159865155</v>
      </c>
      <c r="K149" s="91">
        <f ca="1">J152</f>
        <v>23452.009789713811</v>
      </c>
      <c r="L149" s="91">
        <f ca="1">K152</f>
        <v>5203.7605758180216</v>
      </c>
      <c r="M149" s="91">
        <f ca="1">L152</f>
        <v>0</v>
      </c>
    </row>
    <row r="150" spans="2:13" ht="15.75" customHeight="1">
      <c r="C150" s="44" t="s">
        <v>193</v>
      </c>
      <c r="D150" s="44"/>
      <c r="I150" s="91">
        <f ca="1">IF(I146&lt;0,-I146,IF(I149&gt;0,-MIN(I149,I146),0))</f>
        <v>9964.4450159865155</v>
      </c>
      <c r="J150" s="91">
        <f ca="1">IF(J146&lt;0,-J146,IF(J149&gt;0,-MIN(J149,J146),0))</f>
        <v>13487.564773727296</v>
      </c>
      <c r="K150" s="91">
        <f ca="1">IF(K146&lt;0,-K146,IF(K149&gt;0,-MIN(K149,K146),0))</f>
        <v>-18248.24921389579</v>
      </c>
      <c r="L150" s="91">
        <f ca="1">IF(L146&lt;0,-L146,IF(L149&gt;0,-MIN(L149,L146),0))</f>
        <v>-5203.7605758180216</v>
      </c>
      <c r="M150" s="91">
        <f ca="1">IF(M146&lt;0,-M146,IF(M149&gt;0,-MIN(M149,M146),0))</f>
        <v>0</v>
      </c>
    </row>
    <row r="151" spans="2:13" ht="15.75" customHeight="1">
      <c r="C151" s="108" t="s">
        <v>194</v>
      </c>
      <c r="D151" s="108"/>
      <c r="E151" s="122"/>
      <c r="F151" s="122"/>
      <c r="G151" s="122"/>
      <c r="H151" s="122"/>
      <c r="I151" s="109">
        <v>0</v>
      </c>
      <c r="J151" s="109">
        <v>0</v>
      </c>
      <c r="K151" s="109">
        <v>0</v>
      </c>
      <c r="L151" s="109">
        <v>0</v>
      </c>
      <c r="M151" s="109">
        <v>0</v>
      </c>
    </row>
    <row r="152" spans="2:13" ht="15.75" customHeight="1">
      <c r="C152" s="124" t="s">
        <v>175</v>
      </c>
      <c r="D152" s="124"/>
      <c r="E152" s="125"/>
      <c r="F152" s="125"/>
      <c r="G152" s="125"/>
      <c r="H152" s="125"/>
      <c r="I152" s="126">
        <f ca="1">I149+I150+I151</f>
        <v>9964.4450159865155</v>
      </c>
      <c r="J152" s="126">
        <f ca="1">J149+J150+J151</f>
        <v>23452.009789713811</v>
      </c>
      <c r="K152" s="126">
        <f ca="1">K149+K150+K151</f>
        <v>5203.7605758180216</v>
      </c>
      <c r="L152" s="126">
        <f ca="1">L149+L150+L151</f>
        <v>0</v>
      </c>
      <c r="M152" s="126">
        <f ca="1">M149+M150+M151</f>
        <v>0</v>
      </c>
    </row>
    <row r="153" spans="2:13" ht="15.75" customHeight="1">
      <c r="C153" s="127" t="s">
        <v>195</v>
      </c>
      <c r="D153" s="128"/>
      <c r="E153" s="129"/>
      <c r="F153" s="129"/>
      <c r="G153" s="129"/>
      <c r="H153" s="130">
        <f>G70+G68</f>
        <v>2214605</v>
      </c>
      <c r="I153" s="131">
        <f ca="1">I70+I68</f>
        <v>5171751.0529460693</v>
      </c>
      <c r="J153" s="131">
        <f ca="1">J70+J68</f>
        <v>5090746.9848734513</v>
      </c>
      <c r="K153" s="131">
        <f ca="1">K70+K68</f>
        <v>4955552.9574815594</v>
      </c>
      <c r="L153" s="131">
        <f ca="1">L70+L68</f>
        <v>4781160.8703635866</v>
      </c>
      <c r="M153" s="132">
        <f ca="1">M70+M68</f>
        <v>4563112.7041167933</v>
      </c>
    </row>
    <row r="154" spans="2:13" ht="15.75" customHeight="1">
      <c r="E154" s="91"/>
      <c r="F154" s="91"/>
      <c r="G154" s="91"/>
      <c r="H154" s="133"/>
      <c r="I154" s="134"/>
      <c r="J154" s="134"/>
      <c r="K154" s="134"/>
      <c r="L154" s="134"/>
      <c r="M154" s="134"/>
    </row>
    <row r="155" spans="2:13" ht="15.75" customHeight="1">
      <c r="B155" t="s">
        <v>0</v>
      </c>
      <c r="C155" s="57" t="s">
        <v>196</v>
      </c>
      <c r="D155" s="57"/>
      <c r="E155" s="116"/>
      <c r="F155" s="116"/>
      <c r="G155" s="116"/>
      <c r="H155" s="116"/>
      <c r="I155" s="135"/>
      <c r="J155" s="135"/>
      <c r="K155" s="135"/>
      <c r="L155" s="135"/>
      <c r="M155" s="135"/>
    </row>
    <row r="156" spans="2:13" ht="15.75" customHeight="1">
      <c r="C156" s="79" t="str">
        <f>C3</f>
        <v xml:space="preserve">Fiscal year  </v>
      </c>
      <c r="D156" s="79"/>
      <c r="E156" s="81">
        <f>E3</f>
        <v>2023</v>
      </c>
      <c r="F156" s="81">
        <f>F3</f>
        <v>2024</v>
      </c>
      <c r="G156" s="81"/>
      <c r="H156" s="81">
        <f t="shared" ref="H156:M157" si="27">H3</f>
        <v>2025</v>
      </c>
      <c r="I156" s="83">
        <f t="shared" si="27"/>
        <v>2026</v>
      </c>
      <c r="J156" s="83">
        <f t="shared" si="27"/>
        <v>2027</v>
      </c>
      <c r="K156" s="83">
        <f t="shared" si="27"/>
        <v>2028</v>
      </c>
      <c r="L156" s="83">
        <f t="shared" si="27"/>
        <v>2029</v>
      </c>
      <c r="M156" s="83">
        <f t="shared" si="27"/>
        <v>2030</v>
      </c>
    </row>
    <row r="157" spans="2:13" ht="15.75" customHeight="1">
      <c r="C157" s="6" t="str">
        <f>C4</f>
        <v>Fiscal year end date</v>
      </c>
      <c r="D157" s="6"/>
      <c r="E157" s="85">
        <f>E4</f>
        <v>45291</v>
      </c>
      <c r="F157" s="85">
        <f>F4</f>
        <v>45657</v>
      </c>
      <c r="G157" s="85"/>
      <c r="H157" s="85">
        <f t="shared" si="27"/>
        <v>46022</v>
      </c>
      <c r="I157" s="85">
        <f t="shared" si="27"/>
        <v>46387</v>
      </c>
      <c r="J157" s="85">
        <f t="shared" si="27"/>
        <v>46752</v>
      </c>
      <c r="K157" s="85">
        <f t="shared" si="27"/>
        <v>47118</v>
      </c>
      <c r="L157" s="85">
        <f t="shared" si="27"/>
        <v>47483</v>
      </c>
      <c r="M157" s="85">
        <f t="shared" si="27"/>
        <v>47848</v>
      </c>
    </row>
    <row r="158" spans="2:13" ht="15.75" customHeight="1">
      <c r="C158" s="44"/>
      <c r="D158" s="44"/>
      <c r="E158" s="91"/>
      <c r="F158" s="91"/>
      <c r="G158" s="91"/>
      <c r="H158" s="91"/>
      <c r="I158" s="136"/>
      <c r="J158" s="136"/>
      <c r="K158" s="136"/>
      <c r="L158" s="136"/>
      <c r="M158" s="136"/>
    </row>
    <row r="159" spans="2:13" ht="15.75" customHeight="1">
      <c r="C159" s="95" t="s">
        <v>197</v>
      </c>
      <c r="D159" s="95"/>
      <c r="E159" s="91"/>
      <c r="F159" s="91"/>
      <c r="G159" s="91"/>
      <c r="H159" s="98">
        <f>H17</f>
        <v>-174217</v>
      </c>
      <c r="I159" s="98">
        <f ca="1">I211+I219+I164</f>
        <v>-427448.47283030732</v>
      </c>
      <c r="J159" s="98">
        <f ca="1">J211+J219+J164</f>
        <v>-421783.22536661889</v>
      </c>
      <c r="K159" s="98">
        <f ca="1">K211+K219+K164</f>
        <v>-413288.20876306971</v>
      </c>
      <c r="L159" s="98">
        <f ca="1">L211+L219+L164</f>
        <v>-400676.56062241644</v>
      </c>
      <c r="M159" s="98">
        <f ca="1">M211+M219+M164</f>
        <v>-385353.39278474363</v>
      </c>
    </row>
    <row r="160" spans="2:13" ht="15.75" customHeight="1">
      <c r="C160" s="137"/>
      <c r="D160" s="137"/>
    </row>
    <row r="161" spans="2:13" ht="15.75" customHeight="1">
      <c r="C161" s="138" t="s">
        <v>198</v>
      </c>
      <c r="D161" s="138"/>
    </row>
    <row r="162" spans="2:13" ht="15.75" customHeight="1">
      <c r="C162" s="44" t="s">
        <v>199</v>
      </c>
      <c r="D162" s="44"/>
      <c r="I162" s="43">
        <v>6.0499999999999998E-2</v>
      </c>
      <c r="J162" s="43">
        <v>6.0499999999999998E-2</v>
      </c>
      <c r="K162" s="43">
        <v>6.0499999999999998E-2</v>
      </c>
      <c r="L162" s="43">
        <v>6.0499999999999998E-2</v>
      </c>
      <c r="M162" s="43">
        <v>6.0499999999999998E-2</v>
      </c>
    </row>
    <row r="163" spans="2:13" ht="15.75" customHeight="1">
      <c r="C163" s="44" t="s">
        <v>200</v>
      </c>
      <c r="D163" s="44"/>
      <c r="E163" s="91"/>
      <c r="F163" s="91"/>
      <c r="G163" s="91"/>
      <c r="H163" s="91">
        <v>0</v>
      </c>
      <c r="I163" s="91">
        <f ca="1">I152</f>
        <v>9964.4450159865155</v>
      </c>
      <c r="J163" s="91">
        <f ca="1">J152</f>
        <v>23452.009789713811</v>
      </c>
      <c r="K163" s="91">
        <f ca="1">K152</f>
        <v>5203.7605758180216</v>
      </c>
      <c r="L163" s="91">
        <f ca="1">L152</f>
        <v>0</v>
      </c>
      <c r="M163" s="91">
        <f ca="1">M152</f>
        <v>0</v>
      </c>
    </row>
    <row r="164" spans="2:13" ht="15.75" customHeight="1">
      <c r="C164" s="139" t="s">
        <v>201</v>
      </c>
      <c r="D164" s="139"/>
      <c r="E164" s="140"/>
      <c r="F164" s="140"/>
      <c r="G164" s="140"/>
      <c r="H164" s="141">
        <v>0</v>
      </c>
      <c r="I164" s="141">
        <f ca="1">I227</f>
        <v>-8345.7790213451299</v>
      </c>
      <c r="J164" s="141">
        <f ca="1">J227</f>
        <v>-8967.2572807725446</v>
      </c>
      <c r="K164" s="141">
        <f ca="1">K227</f>
        <v>-8841.0991431080802</v>
      </c>
      <c r="L164" s="141">
        <f ca="1">L227</f>
        <v>-8219.6208836806636</v>
      </c>
      <c r="M164" s="141">
        <f ca="1">M227</f>
        <v>-8081.7212284214866</v>
      </c>
    </row>
    <row r="165" spans="2:13" ht="15.75" customHeight="1">
      <c r="C165" s="89"/>
      <c r="D165" s="89"/>
      <c r="E165" s="91"/>
      <c r="F165" s="91"/>
      <c r="G165" s="91"/>
      <c r="H165" s="91"/>
    </row>
    <row r="166" spans="2:13" ht="15.75" customHeight="1">
      <c r="C166" s="138" t="s">
        <v>131</v>
      </c>
      <c r="D166" s="138"/>
      <c r="E166" s="91"/>
      <c r="F166" s="91"/>
      <c r="G166" s="91"/>
      <c r="H166" s="91"/>
    </row>
    <row r="167" spans="2:13" ht="15.75" customHeight="1">
      <c r="C167" s="108" t="s">
        <v>200</v>
      </c>
      <c r="D167" s="108"/>
      <c r="E167" s="110"/>
      <c r="F167" s="110">
        <f>F70+F68</f>
        <v>2231426</v>
      </c>
      <c r="G167" s="110"/>
      <c r="H167" s="110">
        <f t="shared" ref="H167:M167" si="28">G70+G68</f>
        <v>2214605</v>
      </c>
      <c r="I167" s="110">
        <f t="shared" si="28"/>
        <v>5253118.7984739663</v>
      </c>
      <c r="J167" s="110">
        <f t="shared" ca="1" si="28"/>
        <v>5171751.0529460693</v>
      </c>
      <c r="K167" s="110">
        <f t="shared" ca="1" si="28"/>
        <v>5090746.9848734513</v>
      </c>
      <c r="L167" s="110">
        <f t="shared" ca="1" si="28"/>
        <v>4955552.9574815594</v>
      </c>
      <c r="M167" s="110">
        <f t="shared" ca="1" si="28"/>
        <v>4781160.8703635866</v>
      </c>
    </row>
    <row r="168" spans="2:13" ht="15.75" customHeight="1">
      <c r="C168" s="111" t="s">
        <v>74</v>
      </c>
      <c r="D168" s="111"/>
      <c r="E168" s="102"/>
      <c r="F168" s="102"/>
      <c r="G168" s="102"/>
      <c r="H168" s="91">
        <f>H17</f>
        <v>-174217</v>
      </c>
      <c r="I168" s="91">
        <f ca="1">I245</f>
        <v>-444788.89611684502</v>
      </c>
      <c r="J168" s="91">
        <f ca="1">J245</f>
        <v>-439123.64865315659</v>
      </c>
      <c r="K168" s="91">
        <f ca="1">K245</f>
        <v>-430628.6320496074</v>
      </c>
      <c r="L168" s="91">
        <f ca="1">L245</f>
        <v>-418016.98390895413</v>
      </c>
      <c r="M168" s="91">
        <f ca="1">M245</f>
        <v>-402693.81607128133</v>
      </c>
    </row>
    <row r="169" spans="2:13" ht="15.75" customHeight="1">
      <c r="C169" s="111"/>
      <c r="D169" s="111"/>
      <c r="E169" s="102"/>
      <c r="F169" s="102"/>
      <c r="G169" s="102"/>
      <c r="H169" s="102"/>
      <c r="I169" s="102"/>
      <c r="J169" s="102"/>
      <c r="K169" s="102"/>
      <c r="L169" s="102"/>
      <c r="M169" s="102"/>
    </row>
    <row r="170" spans="2:13" ht="15.75" customHeight="1">
      <c r="C170" s="137" t="s">
        <v>202</v>
      </c>
      <c r="D170" s="137"/>
      <c r="F170" s="91"/>
      <c r="G170" s="91"/>
      <c r="H170" s="91"/>
    </row>
    <row r="171" spans="2:13" ht="15.75" customHeight="1">
      <c r="C171" s="44" t="s">
        <v>203</v>
      </c>
      <c r="D171" s="44"/>
      <c r="H171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</row>
    <row r="172" spans="2:13" ht="15.75" customHeight="1">
      <c r="C172" s="44" t="s">
        <v>73</v>
      </c>
      <c r="D172" s="44"/>
      <c r="E172" s="91"/>
      <c r="F172" s="91"/>
      <c r="G172" s="91"/>
      <c r="H172" s="91">
        <f>H16</f>
        <v>0</v>
      </c>
      <c r="I172" s="91">
        <f ca="1">I171*(H44+I44)/2</f>
        <v>0</v>
      </c>
      <c r="J172" s="91">
        <f ca="1">J171*(I44+J44)/2</f>
        <v>0</v>
      </c>
      <c r="K172" s="91">
        <f ca="1">K171*(J44+K44)/2</f>
        <v>0</v>
      </c>
      <c r="L172" s="91">
        <f ca="1">L171*(K44+L44)/2</f>
        <v>0</v>
      </c>
      <c r="M172" s="91">
        <f ca="1">M171*(L44+M44)/2</f>
        <v>0</v>
      </c>
    </row>
    <row r="173" spans="2:13" ht="15.75" customHeight="1">
      <c r="C173" s="44"/>
      <c r="D173" s="44"/>
      <c r="E173" s="91"/>
      <c r="F173" s="91"/>
      <c r="G173" s="91"/>
      <c r="H173" s="91"/>
      <c r="I173" s="91"/>
      <c r="J173" s="91"/>
      <c r="K173" s="91"/>
      <c r="L173" s="91"/>
      <c r="M173" s="91"/>
    </row>
    <row r="174" spans="2:13" ht="15.75" customHeight="1">
      <c r="B174" t="s">
        <v>0</v>
      </c>
      <c r="C174" s="57" t="s">
        <v>204</v>
      </c>
      <c r="D174" s="57"/>
      <c r="E174" s="116"/>
      <c r="F174" s="116"/>
      <c r="G174" s="116"/>
      <c r="H174" s="116"/>
      <c r="I174" s="135"/>
      <c r="J174" s="135"/>
      <c r="K174" s="135"/>
      <c r="L174" s="135"/>
      <c r="M174" s="135"/>
    </row>
    <row r="175" spans="2:13" ht="15.75" customHeight="1">
      <c r="C175" s="79" t="s">
        <v>22</v>
      </c>
      <c r="D175" s="79"/>
      <c r="E175" s="81"/>
      <c r="F175" s="81"/>
      <c r="G175" s="81"/>
      <c r="H175" s="81"/>
      <c r="I175" s="83">
        <v>2026</v>
      </c>
      <c r="J175" s="83">
        <v>2027</v>
      </c>
      <c r="K175" s="83">
        <v>2028</v>
      </c>
      <c r="L175" s="83">
        <v>2029</v>
      </c>
      <c r="M175" s="83">
        <v>2030</v>
      </c>
    </row>
    <row r="176" spans="2:13" ht="15.75" customHeight="1">
      <c r="C176" s="6" t="s">
        <v>23</v>
      </c>
      <c r="D176" s="6"/>
      <c r="E176" s="85"/>
      <c r="F176" s="85"/>
      <c r="G176" s="85"/>
      <c r="H176" s="85"/>
      <c r="I176" s="85">
        <v>46387</v>
      </c>
      <c r="J176" s="85">
        <v>46752</v>
      </c>
      <c r="K176" s="85">
        <v>47118</v>
      </c>
      <c r="L176" s="85">
        <v>47483</v>
      </c>
      <c r="M176" s="85">
        <v>47848</v>
      </c>
    </row>
    <row r="177" spans="2:16" ht="15.75" customHeight="1">
      <c r="C177" s="44"/>
      <c r="D177" s="44"/>
      <c r="E177" s="91"/>
      <c r="F177" s="91"/>
      <c r="G177" s="91"/>
      <c r="H177" s="91"/>
      <c r="I177" s="91"/>
      <c r="J177" s="91"/>
      <c r="K177" s="91"/>
      <c r="L177" s="91"/>
      <c r="M177" s="91"/>
    </row>
    <row r="178" spans="2:16" ht="15.75" customHeight="1">
      <c r="C178" t="s">
        <v>205</v>
      </c>
      <c r="D178" s="44"/>
      <c r="E178" s="91"/>
      <c r="F178" s="91"/>
      <c r="G178" s="91"/>
      <c r="H178" s="91"/>
      <c r="I178" s="142">
        <f ca="1">(I26+I104+I23)/(-I159+I68)</f>
        <v>1.4654746538920296</v>
      </c>
      <c r="J178" s="142">
        <f ca="1">(J26+J104+J23)/(-J159+J68)</f>
        <v>1.6528382048627832</v>
      </c>
      <c r="K178" s="142">
        <f ca="1">(K26+K104+K23)/(-K159+K68)</f>
        <v>1.861757655826912</v>
      </c>
      <c r="L178" s="142">
        <f ca="1">(L26+L104+L23)/(-L159+L68)</f>
        <v>2.1091233575410735</v>
      </c>
      <c r="M178" s="142">
        <f ca="1">(M26+M104+M23)/(-M159+M68)</f>
        <v>2.3678866923806461</v>
      </c>
    </row>
    <row r="179" spans="2:16" ht="15.75" customHeight="1">
      <c r="C179" s="137" t="s">
        <v>206</v>
      </c>
      <c r="D179" s="44"/>
      <c r="E179" s="143">
        <v>1.2</v>
      </c>
      <c r="F179" s="91"/>
      <c r="G179" s="91"/>
      <c r="I179" s="91"/>
      <c r="J179" s="91"/>
      <c r="K179" s="91"/>
      <c r="L179" s="91"/>
      <c r="M179" s="91"/>
    </row>
    <row r="181" spans="2:16" ht="15.75" customHeight="1">
      <c r="B181" t="s">
        <v>0</v>
      </c>
      <c r="C181" s="144" t="s">
        <v>207</v>
      </c>
      <c r="D181" s="145"/>
      <c r="E181" s="146"/>
      <c r="F181" s="146"/>
      <c r="G181" s="146"/>
      <c r="H181" s="146"/>
      <c r="I181" s="146"/>
      <c r="J181" s="146"/>
      <c r="K181" s="146"/>
      <c r="L181" s="146"/>
      <c r="M181" s="146"/>
      <c r="N181" s="147"/>
      <c r="O181" s="147"/>
      <c r="P181" s="147"/>
    </row>
    <row r="182" spans="2:16" ht="15.75" customHeight="1">
      <c r="C182" s="79" t="s">
        <v>22</v>
      </c>
      <c r="D182" s="79"/>
      <c r="E182" s="81"/>
      <c r="F182" s="81"/>
      <c r="G182" s="81"/>
      <c r="H182" s="81"/>
      <c r="I182" s="83">
        <f t="shared" ref="I182:M183" si="29">I3</f>
        <v>2026</v>
      </c>
      <c r="J182" s="83">
        <f t="shared" si="29"/>
        <v>2027</v>
      </c>
      <c r="K182" s="83">
        <f t="shared" si="29"/>
        <v>2028</v>
      </c>
      <c r="L182" s="83">
        <f t="shared" si="29"/>
        <v>2029</v>
      </c>
      <c r="M182" s="83">
        <f t="shared" si="29"/>
        <v>2030</v>
      </c>
      <c r="N182" s="148"/>
    </row>
    <row r="183" spans="2:16" ht="15.75" customHeight="1">
      <c r="C183" s="6" t="s">
        <v>23</v>
      </c>
      <c r="D183" s="6"/>
      <c r="E183" s="85"/>
      <c r="F183" s="85"/>
      <c r="G183" s="85"/>
      <c r="H183" s="85"/>
      <c r="I183" s="85">
        <f t="shared" si="29"/>
        <v>46387</v>
      </c>
      <c r="J183" s="85">
        <f t="shared" si="29"/>
        <v>46752</v>
      </c>
      <c r="K183" s="85">
        <f t="shared" si="29"/>
        <v>47118</v>
      </c>
      <c r="L183" s="85">
        <f t="shared" si="29"/>
        <v>47483</v>
      </c>
      <c r="M183" s="85">
        <f t="shared" si="29"/>
        <v>47848</v>
      </c>
    </row>
    <row r="184" spans="2:16" ht="15.75" customHeight="1">
      <c r="C184" s="10"/>
      <c r="D184" s="10"/>
      <c r="E184" s="10"/>
      <c r="F184" s="10"/>
      <c r="G184" s="10"/>
      <c r="H184" s="10"/>
      <c r="I184" s="149"/>
      <c r="J184" s="149"/>
      <c r="K184" s="149"/>
      <c r="L184" s="149"/>
      <c r="M184" s="149"/>
    </row>
    <row r="185" spans="2:16" ht="15.75" customHeight="1">
      <c r="C185" s="150" t="s">
        <v>385</v>
      </c>
      <c r="D185" s="150"/>
      <c r="E185" s="19"/>
      <c r="F185" s="19"/>
      <c r="G185" s="19"/>
      <c r="H185" s="19"/>
      <c r="I185" s="69">
        <f ca="1">I37</f>
        <v>886386.25919999997</v>
      </c>
      <c r="J185" s="69">
        <f ca="1">J37</f>
        <v>1042776.0599786666</v>
      </c>
      <c r="K185" s="69">
        <f ca="1">K37</f>
        <v>1212648.0393698134</v>
      </c>
      <c r="L185" s="69">
        <f ca="1">L37</f>
        <v>1376424.9479370601</v>
      </c>
      <c r="M185" s="69">
        <f ca="1">M37</f>
        <v>1537582.3590842162</v>
      </c>
    </row>
    <row r="186" spans="2:16" ht="15.75" customHeight="1">
      <c r="C186" s="19" t="s">
        <v>208</v>
      </c>
      <c r="D186" s="19"/>
      <c r="E186" s="68"/>
      <c r="F186" s="19"/>
      <c r="G186" s="19"/>
      <c r="H186" s="19"/>
      <c r="I186" s="69">
        <f ca="1">I104</f>
        <v>-92673.222125745902</v>
      </c>
      <c r="J186" s="69">
        <f ca="1">J104</f>
        <v>-105283.96297687823</v>
      </c>
      <c r="K186" s="69">
        <f ca="1">K104</f>
        <v>-118062.0694352039</v>
      </c>
      <c r="L186" s="69">
        <f ca="1">L104</f>
        <v>-131286.70990087089</v>
      </c>
      <c r="M186" s="69">
        <f ca="1">M104</f>
        <v>-143641.86601475516</v>
      </c>
    </row>
    <row r="187" spans="2:16" ht="15.75" customHeight="1">
      <c r="C187" s="19" t="s">
        <v>209</v>
      </c>
      <c r="D187" s="19"/>
      <c r="E187" s="68"/>
      <c r="F187" s="19"/>
      <c r="G187" s="19"/>
      <c r="H187" s="19"/>
      <c r="I187" s="69">
        <f ca="1">I98+I99</f>
        <v>-167065.99655921315</v>
      </c>
      <c r="J187" s="69">
        <f ca="1">J98+J99</f>
        <v>-204628.66136681923</v>
      </c>
      <c r="K187" s="69">
        <f ca="1">K98+K99</f>
        <v>-207242.61779510038</v>
      </c>
      <c r="L187" s="69">
        <f ca="1">L98+L99</f>
        <v>-214667.3145145087</v>
      </c>
      <c r="M187" s="69">
        <f ca="1">M98+M99</f>
        <v>-200483.26578940882</v>
      </c>
    </row>
    <row r="188" spans="2:16" ht="15.75" customHeight="1">
      <c r="C188" s="150" t="s">
        <v>210</v>
      </c>
      <c r="D188" s="150"/>
      <c r="E188" s="150"/>
      <c r="F188" s="150"/>
      <c r="G188" s="150"/>
      <c r="H188" s="150"/>
      <c r="I188" s="71">
        <f ca="1">SUM(I185:I187)</f>
        <v>626647.04051504098</v>
      </c>
      <c r="J188" s="71">
        <f ca="1">SUM(J185:J187)</f>
        <v>732863.43563496904</v>
      </c>
      <c r="K188" s="71">
        <f ca="1">SUM(K185:K187)</f>
        <v>887343.35213950905</v>
      </c>
      <c r="L188" s="71">
        <f ca="1">SUM(L185:L187)</f>
        <v>1030470.9235216805</v>
      </c>
      <c r="M188" s="71">
        <f ca="1">SUM(M185:M187)</f>
        <v>1193457.2272800524</v>
      </c>
    </row>
    <row r="189" spans="2:16" ht="15.75" customHeight="1">
      <c r="C189" s="19" t="s">
        <v>80</v>
      </c>
      <c r="D189" s="19"/>
      <c r="E189" s="19"/>
      <c r="F189" s="151"/>
      <c r="G189" s="151"/>
      <c r="H189" s="68"/>
      <c r="I189" s="69">
        <f ca="1">I23</f>
        <v>-58054.095588946489</v>
      </c>
      <c r="J189" s="69">
        <f ca="1">J23</f>
        <v>-98825.217173653029</v>
      </c>
      <c r="K189" s="69">
        <f ca="1">K23</f>
        <v>-137961.61211387301</v>
      </c>
      <c r="L189" s="69">
        <f ca="1">L23</f>
        <v>-180949.57481170163</v>
      </c>
      <c r="M189" s="69">
        <f ca="1">M23</f>
        <v>-220039.12016440651</v>
      </c>
    </row>
    <row r="190" spans="2:16" ht="15.75" customHeight="1">
      <c r="C190" s="150" t="s">
        <v>211</v>
      </c>
      <c r="D190" s="150"/>
      <c r="E190" s="150"/>
      <c r="F190" s="150"/>
      <c r="G190" s="150"/>
      <c r="H190" s="25"/>
      <c r="I190" s="71">
        <f ca="1">SUM(I188:I189)</f>
        <v>568592.9449260945</v>
      </c>
      <c r="J190" s="71">
        <f ca="1">SUM(J188:J189)</f>
        <v>634038.21846131596</v>
      </c>
      <c r="K190" s="71">
        <f ca="1">SUM(K188:K189)</f>
        <v>749381.74002563604</v>
      </c>
      <c r="L190" s="71">
        <f ca="1">SUM(L188:L189)</f>
        <v>849521.34870997886</v>
      </c>
      <c r="M190" s="71">
        <f ca="1">SUM(M188:M189)</f>
        <v>973418.10711564589</v>
      </c>
      <c r="N190" s="91"/>
      <c r="O190" s="91"/>
    </row>
    <row r="191" spans="2:16" ht="15.75" customHeight="1">
      <c r="C191" s="19" t="s">
        <v>212</v>
      </c>
      <c r="D191" s="19"/>
      <c r="E191" s="19"/>
      <c r="F191" s="152">
        <v>14.5</v>
      </c>
      <c r="G191" s="152"/>
      <c r="H191" s="68"/>
      <c r="I191" s="69">
        <v>0</v>
      </c>
      <c r="J191" s="69">
        <v>0</v>
      </c>
      <c r="K191" s="69">
        <v>0</v>
      </c>
      <c r="L191" s="69">
        <v>0</v>
      </c>
      <c r="M191" s="69">
        <f ca="1">F191*M185</f>
        <v>22294944.206721134</v>
      </c>
      <c r="N191" s="91"/>
    </row>
    <row r="192" spans="2:16" ht="15.75" customHeight="1">
      <c r="C192" s="150" t="s">
        <v>207</v>
      </c>
      <c r="D192" s="150"/>
      <c r="E192" s="150"/>
      <c r="F192" s="150"/>
      <c r="G192" s="150"/>
      <c r="H192" s="150"/>
      <c r="I192" s="71">
        <f ca="1">SUM(I190:I191)</f>
        <v>568592.9449260945</v>
      </c>
      <c r="J192" s="71">
        <f ca="1">SUM(J190:J191)</f>
        <v>634038.21846131596</v>
      </c>
      <c r="K192" s="71">
        <f ca="1">SUM(K190:K191)</f>
        <v>749381.74002563604</v>
      </c>
      <c r="L192" s="71">
        <f ca="1">SUM(L190:L191)</f>
        <v>849521.34870997886</v>
      </c>
      <c r="M192" s="71">
        <f ca="1">SUM(M190:M191)</f>
        <v>23268362.313836779</v>
      </c>
      <c r="N192" s="91"/>
    </row>
    <row r="193" spans="2:14" ht="15.75" customHeight="1"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91"/>
    </row>
    <row r="194" spans="2:14" ht="15.75" customHeight="1">
      <c r="C194" s="150" t="s">
        <v>213</v>
      </c>
      <c r="D194" s="150"/>
      <c r="E194" s="153"/>
      <c r="F194" s="154" t="s">
        <v>214</v>
      </c>
      <c r="G194" s="154"/>
      <c r="H194" s="154" t="s">
        <v>215</v>
      </c>
      <c r="I194" s="154"/>
      <c r="J194" s="154" t="s">
        <v>216</v>
      </c>
      <c r="K194" s="154" t="s">
        <v>217</v>
      </c>
      <c r="L194" s="25"/>
      <c r="M194" s="68"/>
    </row>
    <row r="195" spans="2:14" ht="15.75" customHeight="1">
      <c r="C195" s="155">
        <f>D277</f>
        <v>0.12062484902770462</v>
      </c>
      <c r="D195" s="156"/>
      <c r="E195" s="19"/>
      <c r="F195" s="69">
        <f ca="1">NPV(C195,I$190:M$190)</f>
        <v>2634268.8722011694</v>
      </c>
      <c r="G195" s="69"/>
      <c r="H195" s="69">
        <f ca="1">NPV(C195,I$191:M$191)</f>
        <v>12615519.751264427</v>
      </c>
      <c r="I195" s="157"/>
      <c r="J195" s="69">
        <f ca="1">SUM(F195:H195)</f>
        <v>15249788.623465596</v>
      </c>
      <c r="K195" s="158">
        <f ca="1">J195/H$26</f>
        <v>20.476881110876928</v>
      </c>
      <c r="L195" s="68"/>
      <c r="M195" s="69"/>
    </row>
    <row r="196" spans="2:14" ht="15.75" customHeight="1">
      <c r="C196" s="156">
        <v>0.13</v>
      </c>
      <c r="D196" s="156"/>
      <c r="E196" s="19"/>
      <c r="F196" s="69">
        <f ca="1">NPV(C196,I$190:M$190)</f>
        <v>2568443.3639787138</v>
      </c>
      <c r="G196" s="69"/>
      <c r="H196" s="69">
        <f ca="1">NPV(C196,I$191:M$191)</f>
        <v>12100802.49075124</v>
      </c>
      <c r="I196" s="157"/>
      <c r="J196" s="69">
        <f ca="1">SUM(F196:H196)</f>
        <v>14669245.854729954</v>
      </c>
      <c r="K196" s="158">
        <f ca="1">J196/H$26</f>
        <v>19.697348649890099</v>
      </c>
      <c r="L196" s="68"/>
      <c r="M196" s="68"/>
    </row>
    <row r="197" spans="2:14" ht="15.75" customHeight="1">
      <c r="C197" s="156">
        <v>0.14000000000000001</v>
      </c>
      <c r="D197" s="156"/>
      <c r="E197" s="19"/>
      <c r="F197" s="69">
        <f ca="1">NPV(C197,I$190:M$190)</f>
        <v>2500996.5892900038</v>
      </c>
      <c r="G197" s="69"/>
      <c r="H197" s="69">
        <f ca="1">NPV(C197,I$191:M$191)</f>
        <v>11579295.394621357</v>
      </c>
      <c r="I197" s="157"/>
      <c r="J197" s="69">
        <f ca="1">SUM(F197:H197)</f>
        <v>14080291.983911362</v>
      </c>
      <c r="K197" s="158">
        <f ca="1">J197/H$26</f>
        <v>18.906522056137458</v>
      </c>
      <c r="L197" s="68"/>
      <c r="M197" s="68"/>
    </row>
    <row r="198" spans="2:14" ht="15.75" customHeight="1">
      <c r="C198" s="156">
        <v>0.15</v>
      </c>
      <c r="D198" s="156"/>
      <c r="E198" s="19"/>
      <c r="F198" s="69">
        <f ca="1">NPV(C198,I$190:M$190)</f>
        <v>2436260.7147319652</v>
      </c>
      <c r="G198" s="69"/>
      <c r="H198" s="69">
        <f ca="1">NPV(C198,I$191:M$191)</f>
        <v>11084527.574355137</v>
      </c>
      <c r="I198" s="157"/>
      <c r="J198" s="69">
        <f ca="1">SUM(F198:H198)</f>
        <v>13520788.289087102</v>
      </c>
      <c r="K198" s="158">
        <f ca="1">J198/H$26</f>
        <v>18.155240125423781</v>
      </c>
      <c r="L198" s="68"/>
      <c r="M198" s="68"/>
    </row>
    <row r="199" spans="2:14" ht="15.75" customHeight="1">
      <c r="C199" s="156"/>
      <c r="D199" s="156"/>
      <c r="E199" s="19"/>
      <c r="F199" s="69"/>
      <c r="G199" s="69"/>
      <c r="H199" s="69"/>
      <c r="I199" s="157"/>
      <c r="J199" s="69"/>
      <c r="K199" s="158"/>
      <c r="L199" s="68"/>
      <c r="M199" s="68"/>
    </row>
    <row r="200" spans="2:14" ht="15.75" customHeight="1">
      <c r="B200" s="68" t="s">
        <v>0</v>
      </c>
      <c r="C200" s="159" t="s">
        <v>218</v>
      </c>
      <c r="D200" s="160"/>
      <c r="E200" s="161"/>
      <c r="F200" s="161"/>
      <c r="G200" s="161"/>
      <c r="H200" s="161"/>
      <c r="I200" s="161"/>
      <c r="J200" s="161"/>
      <c r="K200" s="161"/>
      <c r="L200" s="161"/>
      <c r="M200" s="161"/>
    </row>
    <row r="201" spans="2:14" ht="15.75" customHeight="1">
      <c r="B201" s="68"/>
      <c r="C201" s="162" t="str">
        <f>C3</f>
        <v xml:space="preserve">Fiscal year  </v>
      </c>
      <c r="D201" s="162"/>
      <c r="E201" s="163"/>
      <c r="F201" s="163"/>
      <c r="G201" s="163"/>
      <c r="H201" s="163"/>
      <c r="I201" s="164">
        <f t="shared" ref="I201:M202" si="30">I182</f>
        <v>2026</v>
      </c>
      <c r="J201" s="164">
        <f t="shared" si="30"/>
        <v>2027</v>
      </c>
      <c r="K201" s="164">
        <f t="shared" si="30"/>
        <v>2028</v>
      </c>
      <c r="L201" s="164">
        <f t="shared" si="30"/>
        <v>2029</v>
      </c>
      <c r="M201" s="164">
        <f t="shared" si="30"/>
        <v>2030</v>
      </c>
    </row>
    <row r="202" spans="2:14" ht="15.75" customHeight="1">
      <c r="B202" s="68"/>
      <c r="C202" s="165" t="str">
        <f>C4</f>
        <v>Fiscal year end date</v>
      </c>
      <c r="D202" s="16"/>
      <c r="E202" s="166"/>
      <c r="F202" s="166"/>
      <c r="G202" s="166"/>
      <c r="H202" s="166"/>
      <c r="I202" s="166">
        <f t="shared" si="30"/>
        <v>46387</v>
      </c>
      <c r="J202" s="166">
        <f t="shared" si="30"/>
        <v>46752</v>
      </c>
      <c r="K202" s="166">
        <f t="shared" si="30"/>
        <v>47118</v>
      </c>
      <c r="L202" s="166">
        <f t="shared" si="30"/>
        <v>47483</v>
      </c>
      <c r="M202" s="166">
        <f t="shared" si="30"/>
        <v>47848</v>
      </c>
    </row>
    <row r="203" spans="2:14" ht="15.75" customHeight="1"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</row>
    <row r="204" spans="2:14" ht="15.75" customHeight="1">
      <c r="B204" s="68"/>
      <c r="C204" s="167" t="s">
        <v>219</v>
      </c>
      <c r="D204" s="68"/>
      <c r="E204" s="168"/>
      <c r="F204" s="168"/>
      <c r="G204" s="168"/>
      <c r="H204" s="168"/>
      <c r="I204" s="69"/>
      <c r="J204" s="69"/>
      <c r="K204" s="69"/>
      <c r="L204" s="69"/>
      <c r="M204" s="69"/>
    </row>
    <row r="205" spans="2:14" ht="15.75" customHeight="1">
      <c r="B205" s="68"/>
      <c r="C205" s="73" t="s">
        <v>220</v>
      </c>
      <c r="D205" s="68"/>
      <c r="E205" s="168"/>
      <c r="F205" s="168"/>
      <c r="G205" s="168"/>
      <c r="H205" s="168"/>
      <c r="I205" s="169">
        <v>7.8E-2</v>
      </c>
      <c r="J205" s="169">
        <v>7.8E-2</v>
      </c>
      <c r="K205" s="169">
        <v>7.8E-2</v>
      </c>
      <c r="L205" s="169">
        <v>7.8E-2</v>
      </c>
      <c r="M205" s="169">
        <v>7.8E-2</v>
      </c>
    </row>
    <row r="206" spans="2:14" ht="15.75" customHeight="1">
      <c r="B206" s="68"/>
      <c r="C206" s="73" t="s">
        <v>221</v>
      </c>
      <c r="D206" s="68"/>
      <c r="E206" s="168"/>
      <c r="F206" s="168"/>
      <c r="G206" s="168"/>
      <c r="H206" s="69">
        <f>'Sources &amp; Uses'!F8</f>
        <v>3636774.552789669</v>
      </c>
      <c r="I206" s="69">
        <f ca="1">H209</f>
        <v>3600406.8072617725</v>
      </c>
      <c r="J206" s="69">
        <f ca="1">I209</f>
        <v>3519402.7391891549</v>
      </c>
      <c r="K206" s="69">
        <f ca="1">J209</f>
        <v>3439208.7117972635</v>
      </c>
      <c r="L206" s="69">
        <f ca="1">K209</f>
        <v>3304816.6246792907</v>
      </c>
      <c r="M206" s="69">
        <f ca="1">L209</f>
        <v>3131768.4584324979</v>
      </c>
    </row>
    <row r="207" spans="2:14" ht="15.75" customHeight="1">
      <c r="B207" s="68"/>
      <c r="C207" s="170" t="s">
        <v>222</v>
      </c>
      <c r="D207" s="68"/>
      <c r="E207" s="168"/>
      <c r="F207" s="168"/>
      <c r="G207" s="168"/>
      <c r="H207" s="69">
        <f t="shared" ref="H207:M207" si="31">-H68</f>
        <v>-36367.745527896688</v>
      </c>
      <c r="I207" s="69">
        <f t="shared" ca="1" si="31"/>
        <v>-36004.068072617723</v>
      </c>
      <c r="J207" s="69">
        <f t="shared" ca="1" si="31"/>
        <v>-35194.027391891548</v>
      </c>
      <c r="K207" s="69">
        <f t="shared" ca="1" si="31"/>
        <v>-34392.087117972638</v>
      </c>
      <c r="L207" s="69">
        <f t="shared" ca="1" si="31"/>
        <v>-33048.166246792905</v>
      </c>
      <c r="M207" s="69">
        <f t="shared" ca="1" si="31"/>
        <v>-31317.684584324979</v>
      </c>
    </row>
    <row r="208" spans="2:14" ht="15.75" customHeight="1">
      <c r="B208" s="68"/>
      <c r="C208" s="170" t="s">
        <v>223</v>
      </c>
      <c r="D208" s="68"/>
      <c r="E208" s="69"/>
      <c r="F208" s="69"/>
      <c r="G208" s="69"/>
      <c r="H208" s="69">
        <f ca="1">-Drivers!G63</f>
        <v>0</v>
      </c>
      <c r="I208" s="69">
        <f ca="1">-Drivers!H63</f>
        <v>-45000</v>
      </c>
      <c r="J208" s="69">
        <f ca="1">-Drivers!I63</f>
        <v>-45000</v>
      </c>
      <c r="K208" s="69">
        <f ca="1">-Drivers!J63</f>
        <v>-100000</v>
      </c>
      <c r="L208" s="69">
        <f ca="1">-Drivers!K63</f>
        <v>-140000</v>
      </c>
      <c r="M208" s="69">
        <f ca="1">-Drivers!L63</f>
        <v>-185000</v>
      </c>
      <c r="N208" s="69"/>
    </row>
    <row r="209" spans="2:13" ht="15.75" customHeight="1">
      <c r="B209" s="68"/>
      <c r="C209" s="73" t="s">
        <v>224</v>
      </c>
      <c r="D209" s="68"/>
      <c r="E209" s="69"/>
      <c r="F209" s="69"/>
      <c r="G209" s="69"/>
      <c r="H209" s="69">
        <f t="shared" ref="H209:M209" ca="1" si="32">SUM(H206:H208)</f>
        <v>3600406.8072617725</v>
      </c>
      <c r="I209" s="69">
        <f t="shared" ca="1" si="32"/>
        <v>3519402.7391891549</v>
      </c>
      <c r="J209" s="69">
        <f t="shared" ca="1" si="32"/>
        <v>3439208.7117972635</v>
      </c>
      <c r="K209" s="69">
        <f t="shared" ca="1" si="32"/>
        <v>3304816.6246792907</v>
      </c>
      <c r="L209" s="69">
        <f t="shared" ca="1" si="32"/>
        <v>3131768.4584324979</v>
      </c>
      <c r="M209" s="69">
        <f t="shared" ca="1" si="32"/>
        <v>2915450.7738481727</v>
      </c>
    </row>
    <row r="210" spans="2:13" ht="15.75" customHeight="1">
      <c r="B210" s="68"/>
      <c r="C210" s="73" t="s">
        <v>225</v>
      </c>
      <c r="D210" s="68"/>
      <c r="E210" s="69"/>
      <c r="F210" s="69"/>
      <c r="G210" s="69"/>
      <c r="H210" s="69"/>
      <c r="I210" s="69">
        <f ca="1">(H209+I209)/2</f>
        <v>3559904.7732254639</v>
      </c>
      <c r="J210" s="69">
        <f ca="1">(I209+J209)/2</f>
        <v>3479305.7254932094</v>
      </c>
      <c r="K210" s="69">
        <f ca="1">(J209+K209)/2</f>
        <v>3372012.6682382771</v>
      </c>
      <c r="L210" s="69">
        <f ca="1">(K209+L209)/2</f>
        <v>3218292.5415558945</v>
      </c>
      <c r="M210" s="69">
        <f ca="1">(L209+M209)/2</f>
        <v>3023609.6161403353</v>
      </c>
    </row>
    <row r="211" spans="2:13" ht="15.75" customHeight="1">
      <c r="B211" s="68"/>
      <c r="C211" s="73" t="s">
        <v>226</v>
      </c>
      <c r="D211" s="68"/>
      <c r="E211" s="69"/>
      <c r="F211" s="69"/>
      <c r="G211" s="69"/>
      <c r="H211" s="69"/>
      <c r="I211" s="69">
        <f ca="1">-I210*I205</f>
        <v>-277672.57231158618</v>
      </c>
      <c r="J211" s="69">
        <f ca="1">-J210*J205</f>
        <v>-271385.84658847033</v>
      </c>
      <c r="K211" s="69">
        <f ca="1">-K210*K205</f>
        <v>-263016.98812258564</v>
      </c>
      <c r="L211" s="69">
        <f ca="1">-L210*L205</f>
        <v>-251026.81824135978</v>
      </c>
      <c r="M211" s="69">
        <f ca="1">-M210*M205</f>
        <v>-235841.55005894616</v>
      </c>
    </row>
    <row r="212" spans="2:13" ht="15.75" customHeight="1">
      <c r="C212" s="171"/>
      <c r="I212" s="91"/>
      <c r="J212" s="91"/>
      <c r="K212" s="91"/>
      <c r="L212" s="91"/>
      <c r="M212" s="91"/>
    </row>
    <row r="213" spans="2:13" ht="15.75" customHeight="1">
      <c r="C213" s="172" t="s">
        <v>227</v>
      </c>
      <c r="D213" s="68"/>
      <c r="E213" s="68"/>
      <c r="F213" s="68"/>
      <c r="G213" s="68"/>
      <c r="H213" s="68"/>
      <c r="I213" s="69"/>
      <c r="J213" s="69"/>
      <c r="K213" s="69"/>
      <c r="L213" s="69"/>
      <c r="M213" s="69"/>
    </row>
    <row r="214" spans="2:13" ht="15.75" customHeight="1">
      <c r="C214" s="73" t="s">
        <v>220</v>
      </c>
      <c r="D214" s="25"/>
      <c r="E214" s="68"/>
      <c r="F214" s="68"/>
      <c r="G214" s="68"/>
      <c r="H214" s="68"/>
      <c r="I214" s="169">
        <v>8.7499999999999994E-2</v>
      </c>
      <c r="J214" s="169">
        <v>8.7499999999999994E-2</v>
      </c>
      <c r="K214" s="169">
        <v>8.7499999999999994E-2</v>
      </c>
      <c r="L214" s="169">
        <v>8.7499999999999994E-2</v>
      </c>
      <c r="M214" s="169">
        <v>8.7499999999999994E-2</v>
      </c>
    </row>
    <row r="215" spans="2:13" ht="15.75" customHeight="1">
      <c r="C215" s="73" t="s">
        <v>221</v>
      </c>
      <c r="D215" s="68"/>
      <c r="E215" s="68"/>
      <c r="F215" s="68"/>
      <c r="G215" s="68"/>
      <c r="H215" s="69">
        <f>'Sources &amp; Uses'!F9</f>
        <v>1616344.2456842973</v>
      </c>
      <c r="I215" s="69">
        <f>H217</f>
        <v>1616344.2456842973</v>
      </c>
      <c r="J215" s="69">
        <f>I217</f>
        <v>1616344.2456842973</v>
      </c>
      <c r="K215" s="69">
        <f>J217</f>
        <v>1616344.2456842973</v>
      </c>
      <c r="L215" s="69">
        <f>K217</f>
        <v>1616344.2456842973</v>
      </c>
      <c r="M215" s="69">
        <f>L217</f>
        <v>1616344.2456842973</v>
      </c>
    </row>
    <row r="216" spans="2:13" ht="15.75" customHeight="1">
      <c r="C216" s="170" t="s">
        <v>222</v>
      </c>
      <c r="D216" s="68"/>
      <c r="E216" s="68"/>
      <c r="F216" s="68"/>
      <c r="G216" s="68"/>
      <c r="H216" s="69">
        <v>0</v>
      </c>
      <c r="I216" s="69">
        <f>H216</f>
        <v>0</v>
      </c>
      <c r="J216" s="69">
        <f>I216</f>
        <v>0</v>
      </c>
      <c r="K216" s="69">
        <f>J216</f>
        <v>0</v>
      </c>
      <c r="L216" s="69">
        <f>K216</f>
        <v>0</v>
      </c>
      <c r="M216" s="69">
        <f>L216</f>
        <v>0</v>
      </c>
    </row>
    <row r="217" spans="2:13" ht="15.75" customHeight="1">
      <c r="C217" s="73" t="s">
        <v>224</v>
      </c>
      <c r="D217" s="68"/>
      <c r="E217" s="68"/>
      <c r="F217" s="68"/>
      <c r="G217" s="68"/>
      <c r="H217" s="69">
        <f t="shared" ref="H217:M217" si="33">SUM(H215:H216)</f>
        <v>1616344.2456842973</v>
      </c>
      <c r="I217" s="69">
        <f t="shared" si="33"/>
        <v>1616344.2456842973</v>
      </c>
      <c r="J217" s="69">
        <f t="shared" si="33"/>
        <v>1616344.2456842973</v>
      </c>
      <c r="K217" s="69">
        <f t="shared" si="33"/>
        <v>1616344.2456842973</v>
      </c>
      <c r="L217" s="69">
        <f t="shared" si="33"/>
        <v>1616344.2456842973</v>
      </c>
      <c r="M217" s="69">
        <f t="shared" si="33"/>
        <v>1616344.2456842973</v>
      </c>
    </row>
    <row r="218" spans="2:13" ht="15.75" customHeight="1">
      <c r="C218" s="73" t="s">
        <v>225</v>
      </c>
      <c r="D218" s="68"/>
      <c r="E218" s="68"/>
      <c r="F218" s="68"/>
      <c r="G218" s="68"/>
      <c r="H218" s="68"/>
      <c r="I218" s="69">
        <f>(H217+I217)/2</f>
        <v>1616344.2456842973</v>
      </c>
      <c r="J218" s="69">
        <f>(I217+J217)/2</f>
        <v>1616344.2456842973</v>
      </c>
      <c r="K218" s="69">
        <f>(J217+K217)/2</f>
        <v>1616344.2456842973</v>
      </c>
      <c r="L218" s="69">
        <f>(K217+L217)/2</f>
        <v>1616344.2456842973</v>
      </c>
      <c r="M218" s="69">
        <f>(L217+M217)/2</f>
        <v>1616344.2456842973</v>
      </c>
    </row>
    <row r="219" spans="2:13" ht="15.75" customHeight="1">
      <c r="C219" s="73" t="s">
        <v>226</v>
      </c>
      <c r="D219" s="68"/>
      <c r="E219" s="68"/>
      <c r="F219" s="68"/>
      <c r="G219" s="68"/>
      <c r="H219" s="68"/>
      <c r="I219" s="69">
        <f>-I218*I214</f>
        <v>-141430.12149737601</v>
      </c>
      <c r="J219" s="69">
        <f>-J218*J214</f>
        <v>-141430.12149737601</v>
      </c>
      <c r="K219" s="69">
        <f>-K218*K214</f>
        <v>-141430.12149737601</v>
      </c>
      <c r="L219" s="69">
        <f>-L218*L214</f>
        <v>-141430.12149737601</v>
      </c>
      <c r="M219" s="69">
        <f>-M218*M214</f>
        <v>-141430.12149737601</v>
      </c>
    </row>
    <row r="220" spans="2:13" ht="15.75" customHeight="1">
      <c r="C220" s="73"/>
      <c r="D220" s="68"/>
      <c r="E220" s="68"/>
      <c r="F220" s="68"/>
      <c r="G220" s="68"/>
      <c r="H220" s="68"/>
      <c r="I220" s="69"/>
      <c r="J220" s="69"/>
      <c r="K220" s="69"/>
      <c r="L220" s="69"/>
      <c r="M220" s="69"/>
    </row>
    <row r="221" spans="2:13" ht="15.75" customHeight="1">
      <c r="C221" s="172" t="s">
        <v>138</v>
      </c>
      <c r="D221" s="68"/>
      <c r="E221" s="68"/>
      <c r="F221" s="68"/>
      <c r="G221" s="68"/>
      <c r="H221" s="68"/>
      <c r="I221" s="69"/>
      <c r="J221" s="69"/>
      <c r="K221" s="69"/>
      <c r="L221" s="69"/>
      <c r="M221" s="69"/>
    </row>
    <row r="222" spans="2:13" ht="15.75" customHeight="1">
      <c r="C222" s="73" t="s">
        <v>220</v>
      </c>
      <c r="D222" s="25"/>
      <c r="E222" s="68"/>
      <c r="F222" s="68"/>
      <c r="G222" s="68"/>
      <c r="H222" s="68"/>
      <c r="I222" s="169">
        <v>6.3E-2</v>
      </c>
      <c r="J222" s="169">
        <v>6.3E-2</v>
      </c>
      <c r="K222" s="169">
        <v>6.3E-2</v>
      </c>
      <c r="L222" s="169">
        <v>6.3E-2</v>
      </c>
      <c r="M222" s="169">
        <v>6.3E-2</v>
      </c>
    </row>
    <row r="223" spans="2:13" ht="15.75" customHeight="1">
      <c r="C223" s="73" t="s">
        <v>221</v>
      </c>
      <c r="D223" s="68"/>
      <c r="E223" s="68"/>
      <c r="F223" s="68"/>
      <c r="G223" s="68"/>
      <c r="H223" s="69">
        <v>0</v>
      </c>
      <c r="I223" s="69">
        <f>I149</f>
        <v>0</v>
      </c>
      <c r="J223" s="69">
        <f ca="1">J149</f>
        <v>9964.4450159865155</v>
      </c>
      <c r="K223" s="69">
        <f ca="1">K149</f>
        <v>23452.009789713811</v>
      </c>
      <c r="L223" s="69">
        <f ca="1">L149</f>
        <v>5203.7605758180216</v>
      </c>
      <c r="M223" s="69">
        <f ca="1">M149</f>
        <v>0</v>
      </c>
    </row>
    <row r="224" spans="2:13" ht="15.75" customHeight="1">
      <c r="C224" s="170" t="s">
        <v>228</v>
      </c>
      <c r="D224" s="68"/>
      <c r="E224" s="68"/>
      <c r="F224" s="68"/>
      <c r="G224" s="68"/>
      <c r="H224" s="69">
        <v>0</v>
      </c>
      <c r="I224" s="69">
        <f ca="1">I150+I151</f>
        <v>9964.4450159865155</v>
      </c>
      <c r="J224" s="69">
        <f ca="1">J150+J151</f>
        <v>13487.564773727296</v>
      </c>
      <c r="K224" s="69">
        <f ca="1">K150+K151</f>
        <v>-18248.24921389579</v>
      </c>
      <c r="L224" s="69">
        <f ca="1">L150+L151</f>
        <v>-5203.7605758180216</v>
      </c>
      <c r="M224" s="69">
        <f ca="1">M150+M151</f>
        <v>0</v>
      </c>
    </row>
    <row r="225" spans="3:13" ht="15.75" customHeight="1">
      <c r="C225" s="73" t="s">
        <v>224</v>
      </c>
      <c r="D225" s="68"/>
      <c r="E225" s="68"/>
      <c r="F225" s="68"/>
      <c r="G225" s="68"/>
      <c r="H225" s="69">
        <f t="shared" ref="H225:M225" si="34">SUM(H223:H224)</f>
        <v>0</v>
      </c>
      <c r="I225" s="69">
        <f t="shared" ca="1" si="34"/>
        <v>9964.4450159865155</v>
      </c>
      <c r="J225" s="69">
        <f t="shared" ca="1" si="34"/>
        <v>23452.009789713811</v>
      </c>
      <c r="K225" s="69">
        <f t="shared" ca="1" si="34"/>
        <v>5203.7605758180216</v>
      </c>
      <c r="L225" s="69">
        <f t="shared" ca="1" si="34"/>
        <v>0</v>
      </c>
      <c r="M225" s="69">
        <f t="shared" ca="1" si="34"/>
        <v>0</v>
      </c>
    </row>
    <row r="226" spans="3:13" ht="15.75" customHeight="1">
      <c r="C226" s="73" t="s">
        <v>225</v>
      </c>
      <c r="D226" s="68"/>
      <c r="E226" s="68"/>
      <c r="F226" s="68"/>
      <c r="G226" s="68"/>
      <c r="H226" s="68"/>
      <c r="I226" s="69">
        <f ca="1">(H225+I225)/2</f>
        <v>4982.2225079932578</v>
      </c>
      <c r="J226" s="69">
        <f ca="1">(I225+J225)/2</f>
        <v>16708.227402850163</v>
      </c>
      <c r="K226" s="69">
        <f ca="1">(J225+K225)/2</f>
        <v>14327.885182765916</v>
      </c>
      <c r="L226" s="69">
        <f ca="1">(K225+L225)/2</f>
        <v>2601.8802879090108</v>
      </c>
      <c r="M226" s="69">
        <f ca="1">(L225+M225)/2</f>
        <v>0</v>
      </c>
    </row>
    <row r="227" spans="3:13" ht="15.75" customHeight="1">
      <c r="C227" s="73" t="s">
        <v>226</v>
      </c>
      <c r="D227" s="68"/>
      <c r="E227" s="68"/>
      <c r="F227" s="68"/>
      <c r="G227" s="68"/>
      <c r="H227" s="68"/>
      <c r="I227" s="69">
        <f ca="1">-I226*I222-('Sources &amp; Uses'!$D$73*'Sources &amp; Uses'!$L$3-I226)*0.01</f>
        <v>-8345.7790213451299</v>
      </c>
      <c r="J227" s="69">
        <f ca="1">-J226*J222-('Sources &amp; Uses'!$D$73*'Sources &amp; Uses'!$L$3-J226)*0.01</f>
        <v>-8967.2572807725446</v>
      </c>
      <c r="K227" s="69">
        <f ca="1">-K226*K222-('Sources &amp; Uses'!$D$73*'Sources &amp; Uses'!$L$3-K226)*0.01</f>
        <v>-8841.0991431080802</v>
      </c>
      <c r="L227" s="69">
        <f ca="1">-L226*L222-('Sources &amp; Uses'!$D$73*'Sources &amp; Uses'!$L$3-L226)*0.01</f>
        <v>-8219.6208836806636</v>
      </c>
      <c r="M227" s="69">
        <f ca="1">-M226*M222-('Sources &amp; Uses'!$D$73*'Sources &amp; Uses'!$L$3-M226)*0.01</f>
        <v>-8081.7212284214866</v>
      </c>
    </row>
    <row r="228" spans="3:13" ht="15.75" customHeight="1">
      <c r="C228" s="73"/>
      <c r="D228" s="68"/>
      <c r="E228" s="68"/>
      <c r="F228" s="68"/>
      <c r="G228" s="68"/>
      <c r="H228" s="173"/>
      <c r="I228" s="69"/>
      <c r="J228" s="69"/>
      <c r="K228" s="69"/>
      <c r="L228" s="69"/>
      <c r="M228" s="69"/>
    </row>
    <row r="229" spans="3:13" ht="15.75" customHeight="1">
      <c r="C229" s="172" t="s">
        <v>229</v>
      </c>
      <c r="D229" s="68"/>
      <c r="E229" s="68"/>
      <c r="F229" s="68"/>
      <c r="G229" s="68"/>
      <c r="H229" s="68"/>
      <c r="I229" s="69"/>
      <c r="J229" s="69"/>
      <c r="K229" s="69"/>
      <c r="L229" s="69"/>
      <c r="M229" s="69"/>
    </row>
    <row r="230" spans="3:13" ht="15.75" customHeight="1">
      <c r="C230" s="174" t="s">
        <v>230</v>
      </c>
      <c r="D230" s="25"/>
      <c r="E230" s="68"/>
      <c r="F230" s="68"/>
      <c r="G230" s="68"/>
      <c r="H230" s="69">
        <f>'Sources &amp; Uses'!G31</f>
        <v>124256.46388698037</v>
      </c>
      <c r="I230" s="69">
        <f>H230</f>
        <v>124256.46388698037</v>
      </c>
      <c r="J230" s="69">
        <f>I230</f>
        <v>124256.46388698037</v>
      </c>
      <c r="K230" s="69">
        <f>J230</f>
        <v>124256.46388698037</v>
      </c>
      <c r="L230" s="69">
        <f>K230</f>
        <v>124256.46388698037</v>
      </c>
      <c r="M230" s="69">
        <f>L230</f>
        <v>124256.46388698037</v>
      </c>
    </row>
    <row r="231" spans="3:13" ht="15.75" customHeight="1">
      <c r="C231" s="175" t="s">
        <v>231</v>
      </c>
      <c r="D231" s="25"/>
      <c r="E231" s="68"/>
      <c r="F231" s="68"/>
      <c r="G231" s="68"/>
      <c r="H231" s="176"/>
      <c r="I231" s="176">
        <f>'Sources &amp; Uses'!$I$31</f>
        <v>17340.423286537691</v>
      </c>
      <c r="J231" s="176">
        <f>'Sources &amp; Uses'!$I$31</f>
        <v>17340.423286537691</v>
      </c>
      <c r="K231" s="176">
        <f>'Sources &amp; Uses'!$I$31</f>
        <v>17340.423286537691</v>
      </c>
      <c r="L231" s="176">
        <f>'Sources &amp; Uses'!$I$31</f>
        <v>17340.423286537691</v>
      </c>
      <c r="M231" s="176">
        <f>'Sources &amp; Uses'!$I$31</f>
        <v>17340.423286537691</v>
      </c>
    </row>
    <row r="232" spans="3:13" ht="15.75" customHeight="1">
      <c r="C232" s="177" t="s">
        <v>232</v>
      </c>
      <c r="D232" s="156"/>
      <c r="E232" s="19"/>
      <c r="F232" s="69"/>
      <c r="G232" s="69"/>
      <c r="H232" s="69">
        <f>H230</f>
        <v>124256.46388698037</v>
      </c>
      <c r="I232" s="69">
        <f>H233</f>
        <v>124256.46388698037</v>
      </c>
      <c r="J232" s="69">
        <f>I233</f>
        <v>106916.04060044268</v>
      </c>
      <c r="K232" s="69">
        <f>J233</f>
        <v>89575.617313904979</v>
      </c>
      <c r="L232" s="69">
        <f>K233</f>
        <v>72235.194027367281</v>
      </c>
      <c r="M232" s="69">
        <f>L233</f>
        <v>54894.77074082959</v>
      </c>
    </row>
    <row r="233" spans="3:13" ht="15.75" customHeight="1">
      <c r="C233" s="177" t="s">
        <v>233</v>
      </c>
      <c r="D233" s="156"/>
      <c r="E233" s="19"/>
      <c r="F233" s="69"/>
      <c r="G233" s="69"/>
      <c r="H233" s="69">
        <f>H232</f>
        <v>124256.46388698037</v>
      </c>
      <c r="I233" s="69">
        <f>I232-I231</f>
        <v>106916.04060044268</v>
      </c>
      <c r="J233" s="69">
        <f>J232-J231</f>
        <v>89575.617313904979</v>
      </c>
      <c r="K233" s="69">
        <f>K232-K231</f>
        <v>72235.194027367281</v>
      </c>
      <c r="L233" s="69">
        <f>L232-L231</f>
        <v>54894.77074082959</v>
      </c>
      <c r="M233" s="69">
        <f>M232-M231</f>
        <v>37554.347454291899</v>
      </c>
    </row>
    <row r="234" spans="3:13" ht="15.75" customHeight="1">
      <c r="C234" s="156"/>
      <c r="D234" s="156"/>
      <c r="E234" s="19"/>
      <c r="F234" s="69"/>
      <c r="G234" s="69"/>
      <c r="H234" s="69"/>
      <c r="I234" s="157"/>
      <c r="J234" s="69"/>
      <c r="K234" s="158"/>
      <c r="L234" s="68"/>
      <c r="M234" s="68"/>
    </row>
    <row r="235" spans="3:13" ht="15.75" customHeight="1">
      <c r="C235" s="178" t="s">
        <v>234</v>
      </c>
      <c r="D235" s="156"/>
      <c r="E235" s="19"/>
      <c r="F235" s="69"/>
      <c r="G235" s="69"/>
      <c r="H235" s="68"/>
      <c r="I235" s="68"/>
      <c r="J235" s="68"/>
      <c r="K235" s="68"/>
      <c r="L235" s="68"/>
      <c r="M235" s="68"/>
    </row>
    <row r="236" spans="3:13" ht="15.75" customHeight="1">
      <c r="C236" s="179" t="s">
        <v>235</v>
      </c>
      <c r="D236" s="156"/>
      <c r="E236" s="19"/>
      <c r="F236" s="69"/>
      <c r="G236" s="69"/>
      <c r="H236" s="69">
        <f t="shared" ref="H236:M236" ca="1" si="35">SUM(H209,H217)</f>
        <v>5216751.0529460702</v>
      </c>
      <c r="I236" s="69">
        <f t="shared" ca="1" si="35"/>
        <v>5135746.9848734522</v>
      </c>
      <c r="J236" s="69">
        <f t="shared" ca="1" si="35"/>
        <v>5055552.9574815612</v>
      </c>
      <c r="K236" s="69">
        <f t="shared" ca="1" si="35"/>
        <v>4921160.8703635875</v>
      </c>
      <c r="L236" s="69">
        <f t="shared" ca="1" si="35"/>
        <v>4748112.7041167952</v>
      </c>
      <c r="M236" s="69">
        <f t="shared" ca="1" si="35"/>
        <v>4531795.01953247</v>
      </c>
    </row>
    <row r="237" spans="3:13" ht="15.75" customHeight="1">
      <c r="C237" s="179" t="s">
        <v>236</v>
      </c>
      <c r="D237" s="156"/>
      <c r="E237" s="19"/>
      <c r="F237" s="69"/>
      <c r="G237" s="69"/>
      <c r="H237" s="69">
        <f t="shared" ref="H237:M237" si="36">-H233</f>
        <v>-124256.46388698037</v>
      </c>
      <c r="I237" s="69">
        <f t="shared" si="36"/>
        <v>-106916.04060044268</v>
      </c>
      <c r="J237" s="69">
        <f t="shared" si="36"/>
        <v>-89575.617313904979</v>
      </c>
      <c r="K237" s="69">
        <f t="shared" si="36"/>
        <v>-72235.194027367281</v>
      </c>
      <c r="L237" s="69">
        <f t="shared" si="36"/>
        <v>-54894.77074082959</v>
      </c>
      <c r="M237" s="69">
        <f t="shared" si="36"/>
        <v>-37554.347454291899</v>
      </c>
    </row>
    <row r="238" spans="3:13" ht="15.75" customHeight="1">
      <c r="C238" s="177" t="s">
        <v>237</v>
      </c>
      <c r="D238" s="156"/>
      <c r="E238" s="19"/>
      <c r="F238" s="69"/>
      <c r="G238" s="69"/>
      <c r="H238" s="69">
        <f t="shared" ref="H238:M238" ca="1" si="37">SUM(H236:H237)</f>
        <v>5092494.5890590902</v>
      </c>
      <c r="I238" s="69">
        <f t="shared" ca="1" si="37"/>
        <v>5028830.9442730099</v>
      </c>
      <c r="J238" s="69">
        <f t="shared" ca="1" si="37"/>
        <v>4965977.3401676565</v>
      </c>
      <c r="K238" s="69">
        <f t="shared" ca="1" si="37"/>
        <v>4848925.6763362205</v>
      </c>
      <c r="L238" s="69">
        <f t="shared" ca="1" si="37"/>
        <v>4693217.9333759658</v>
      </c>
      <c r="M238" s="69">
        <f t="shared" ca="1" si="37"/>
        <v>4494240.6720781783</v>
      </c>
    </row>
    <row r="239" spans="3:13" ht="15.75" customHeight="1">
      <c r="C239" s="156"/>
      <c r="D239" s="156"/>
      <c r="E239" s="19"/>
      <c r="F239" s="69"/>
      <c r="G239" s="69"/>
      <c r="H239" s="69"/>
      <c r="I239" s="157"/>
      <c r="J239" s="69"/>
      <c r="K239" s="158"/>
      <c r="L239" s="68"/>
      <c r="M239" s="68"/>
    </row>
    <row r="240" spans="3:13" ht="15.75" customHeight="1">
      <c r="C240" s="178" t="s">
        <v>238</v>
      </c>
      <c r="D240" s="156"/>
      <c r="E240" s="19"/>
      <c r="F240" s="69"/>
      <c r="G240" s="69"/>
      <c r="H240" s="69"/>
      <c r="I240" s="157"/>
      <c r="J240" s="69"/>
      <c r="K240" s="158"/>
      <c r="L240" s="68"/>
      <c r="M240" s="68"/>
    </row>
    <row r="241" spans="2:16" ht="15.75" customHeight="1">
      <c r="C241" s="180" t="s">
        <v>239</v>
      </c>
      <c r="D241" s="156"/>
      <c r="E241" s="19"/>
      <c r="F241" s="69"/>
      <c r="G241" s="69"/>
      <c r="H241" s="69"/>
      <c r="I241" s="69">
        <f ca="1">I211</f>
        <v>-277672.57231158618</v>
      </c>
      <c r="J241" s="69">
        <f ca="1">J211</f>
        <v>-271385.84658847033</v>
      </c>
      <c r="K241" s="69">
        <f ca="1">K211</f>
        <v>-263016.98812258564</v>
      </c>
      <c r="L241" s="69">
        <f ca="1">L211</f>
        <v>-251026.81824135978</v>
      </c>
      <c r="M241" s="69">
        <f ca="1">M211</f>
        <v>-235841.55005894616</v>
      </c>
    </row>
    <row r="242" spans="2:16" ht="15.75" customHeight="1">
      <c r="C242" s="180" t="s">
        <v>240</v>
      </c>
      <c r="D242" s="156"/>
      <c r="E242" s="19"/>
      <c r="F242" s="69"/>
      <c r="G242" s="69"/>
      <c r="H242" s="69"/>
      <c r="I242" s="69">
        <f>I219</f>
        <v>-141430.12149737601</v>
      </c>
      <c r="J242" s="69">
        <f>J219</f>
        <v>-141430.12149737601</v>
      </c>
      <c r="K242" s="69">
        <f>K219</f>
        <v>-141430.12149737601</v>
      </c>
      <c r="L242" s="69">
        <f>L219</f>
        <v>-141430.12149737601</v>
      </c>
      <c r="M242" s="69">
        <f>M219</f>
        <v>-141430.12149737601</v>
      </c>
    </row>
    <row r="243" spans="2:16" ht="15.75" customHeight="1">
      <c r="C243" s="181" t="s">
        <v>241</v>
      </c>
      <c r="D243" s="156"/>
      <c r="E243" s="19"/>
      <c r="F243" s="69"/>
      <c r="G243" s="69"/>
      <c r="H243" s="69"/>
      <c r="I243" s="69">
        <f ca="1">SUM(I241:I242)+I227</f>
        <v>-427448.47283030732</v>
      </c>
      <c r="J243" s="69">
        <f ca="1">SUM(J241:J242)+J227</f>
        <v>-421783.22536661889</v>
      </c>
      <c r="K243" s="69">
        <f ca="1">SUM(K241:K242)+K227</f>
        <v>-413288.20876306971</v>
      </c>
      <c r="L243" s="69">
        <f ca="1">SUM(L241:L242)+L227</f>
        <v>-400676.56062241644</v>
      </c>
      <c r="M243" s="69">
        <f ca="1">SUM(M241:M242)+M227</f>
        <v>-385353.39278474363</v>
      </c>
    </row>
    <row r="244" spans="2:16" ht="15.75" customHeight="1">
      <c r="C244" s="180" t="s">
        <v>242</v>
      </c>
      <c r="D244" s="156"/>
      <c r="E244" s="19"/>
      <c r="F244" s="69"/>
      <c r="G244" s="69"/>
      <c r="H244" s="69"/>
      <c r="I244" s="69">
        <f>-I231</f>
        <v>-17340.423286537691</v>
      </c>
      <c r="J244" s="69">
        <f>-J231</f>
        <v>-17340.423286537691</v>
      </c>
      <c r="K244" s="69">
        <f>-K231</f>
        <v>-17340.423286537691</v>
      </c>
      <c r="L244" s="69">
        <f>-L231</f>
        <v>-17340.423286537691</v>
      </c>
      <c r="M244" s="69">
        <f>-M231</f>
        <v>-17340.423286537691</v>
      </c>
    </row>
    <row r="245" spans="2:16" ht="15.75" customHeight="1">
      <c r="C245" s="182" t="s">
        <v>243</v>
      </c>
      <c r="D245" s="183"/>
      <c r="E245" s="150"/>
      <c r="F245" s="71"/>
      <c r="G245" s="71"/>
      <c r="H245" s="71"/>
      <c r="I245" s="71">
        <f ca="1">SUM(I243:I244)</f>
        <v>-444788.89611684502</v>
      </c>
      <c r="J245" s="71">
        <f ca="1">SUM(J243:J244)</f>
        <v>-439123.64865315659</v>
      </c>
      <c r="K245" s="71">
        <f ca="1">SUM(K243:K244)</f>
        <v>-430628.6320496074</v>
      </c>
      <c r="L245" s="71">
        <f ca="1">SUM(L243:L244)</f>
        <v>-418016.98390895413</v>
      </c>
      <c r="M245" s="71">
        <f ca="1">SUM(M243:M244)</f>
        <v>-402693.81607128133</v>
      </c>
    </row>
    <row r="246" spans="2:16" ht="15.75" customHeight="1">
      <c r="C246" s="10"/>
      <c r="D246" s="10"/>
      <c r="E246" s="10"/>
      <c r="F246" s="10"/>
      <c r="G246" s="10"/>
      <c r="H246" s="10"/>
      <c r="I246" s="10"/>
      <c r="J246" s="10"/>
      <c r="K246" s="184"/>
      <c r="L246" s="184"/>
      <c r="M246" s="184"/>
      <c r="N246" s="184"/>
      <c r="O246" s="184"/>
      <c r="P246" s="184"/>
    </row>
    <row r="247" spans="2:16" ht="15.75" customHeight="1">
      <c r="B247" t="s">
        <v>0</v>
      </c>
      <c r="C247" s="159" t="s">
        <v>244</v>
      </c>
      <c r="D247" s="185"/>
      <c r="E247" s="185"/>
      <c r="F247" s="185"/>
      <c r="G247" s="185"/>
      <c r="H247" s="185"/>
      <c r="I247" s="185"/>
      <c r="J247" s="185"/>
      <c r="K247" s="185"/>
      <c r="L247" s="185"/>
      <c r="M247" s="6"/>
    </row>
    <row r="248" spans="2:16" ht="15.75" customHeight="1">
      <c r="C248" s="36" t="s">
        <v>245</v>
      </c>
      <c r="D248" s="186">
        <v>0.1</v>
      </c>
      <c r="E248" s="36"/>
      <c r="F248" s="36"/>
      <c r="G248" s="36"/>
      <c r="H248" s="36"/>
      <c r="I248" s="36"/>
      <c r="J248" s="36"/>
      <c r="K248" s="36"/>
      <c r="L248" s="36"/>
    </row>
    <row r="249" spans="2:16" ht="15.75" customHeight="1">
      <c r="C249" s="36" t="s">
        <v>246</v>
      </c>
      <c r="D249" s="186">
        <v>0.06</v>
      </c>
      <c r="E249" s="36" t="s">
        <v>247</v>
      </c>
      <c r="F249" s="36"/>
      <c r="G249" s="36"/>
      <c r="H249" s="36"/>
      <c r="I249" s="36"/>
      <c r="J249" s="36"/>
      <c r="K249" s="36"/>
      <c r="L249" s="36"/>
    </row>
    <row r="250" spans="2:16" ht="15.75" customHeight="1">
      <c r="C250" s="36" t="s">
        <v>248</v>
      </c>
      <c r="D250" s="186">
        <v>0.05</v>
      </c>
      <c r="E250" s="36" t="s">
        <v>249</v>
      </c>
      <c r="F250" s="36"/>
      <c r="G250" s="36"/>
      <c r="I250" s="187"/>
      <c r="J250" s="36"/>
      <c r="K250" s="36"/>
      <c r="L250" s="36"/>
    </row>
    <row r="251" spans="2:16" ht="15.75" customHeight="1">
      <c r="C251" s="36" t="s">
        <v>250</v>
      </c>
      <c r="D251" s="36" t="s">
        <v>251</v>
      </c>
      <c r="E251" s="36"/>
      <c r="F251" s="36"/>
      <c r="G251" s="36"/>
      <c r="H251" s="36"/>
      <c r="I251" s="36"/>
      <c r="J251" s="36"/>
      <c r="K251" s="36"/>
      <c r="L251" s="36"/>
    </row>
    <row r="252" spans="2:16" ht="15.75" customHeight="1">
      <c r="C252" s="36" t="s">
        <v>252</v>
      </c>
      <c r="D252" s="188">
        <v>1</v>
      </c>
      <c r="E252" s="36" t="s">
        <v>253</v>
      </c>
      <c r="F252" s="36"/>
      <c r="G252" s="36"/>
      <c r="H252" s="36"/>
      <c r="I252" s="36"/>
      <c r="J252" s="36"/>
      <c r="K252" s="36"/>
      <c r="L252" s="36"/>
    </row>
    <row r="253" spans="2:16" ht="15.75" customHeight="1">
      <c r="C253" s="36"/>
      <c r="D253" s="36"/>
      <c r="E253" s="36"/>
      <c r="F253" s="36"/>
      <c r="G253" s="36"/>
      <c r="H253" s="36"/>
      <c r="I253" s="36"/>
      <c r="J253" s="36"/>
      <c r="K253" s="36"/>
      <c r="L253" s="36"/>
    </row>
    <row r="254" spans="2:16" ht="15.75" customHeight="1">
      <c r="C254" s="189" t="s">
        <v>254</v>
      </c>
      <c r="D254" s="36"/>
      <c r="F254" s="190"/>
      <c r="G254" s="190"/>
      <c r="H254" s="190"/>
      <c r="I254" s="191">
        <f>I201</f>
        <v>2026</v>
      </c>
      <c r="J254" s="191">
        <f>J201</f>
        <v>2027</v>
      </c>
      <c r="K254" s="191">
        <f>K201</f>
        <v>2028</v>
      </c>
      <c r="L254" s="191">
        <f>L201</f>
        <v>2029</v>
      </c>
      <c r="M254" s="191">
        <f>M201</f>
        <v>2030</v>
      </c>
    </row>
    <row r="255" spans="2:16" ht="15.75" customHeight="1">
      <c r="C255" s="36"/>
      <c r="D255" s="36"/>
      <c r="F255" s="190"/>
      <c r="G255" s="190"/>
      <c r="H255" s="192">
        <f>I254</f>
        <v>2026</v>
      </c>
      <c r="I255" s="69">
        <f ca="1">Drivers!H72</f>
        <v>0</v>
      </c>
      <c r="J255" s="69">
        <f ca="1">Drivers!H72</f>
        <v>0</v>
      </c>
      <c r="K255" s="69">
        <f ca="1">J255</f>
        <v>0</v>
      </c>
      <c r="L255" s="69">
        <f ca="1">K255</f>
        <v>0</v>
      </c>
      <c r="M255" s="69">
        <f ca="1">L255</f>
        <v>0</v>
      </c>
    </row>
    <row r="256" spans="2:16" ht="15.75" customHeight="1">
      <c r="C256" s="36"/>
      <c r="D256" s="36"/>
      <c r="F256" s="190" t="s">
        <v>255</v>
      </c>
      <c r="G256" s="190"/>
      <c r="H256" s="192">
        <f>J254</f>
        <v>2027</v>
      </c>
      <c r="I256" s="69"/>
      <c r="J256" s="69">
        <f ca="1">Drivers!I72/2</f>
        <v>25000</v>
      </c>
      <c r="K256" s="69">
        <f ca="1">J256*2*(1+D249)</f>
        <v>53000</v>
      </c>
      <c r="L256" s="69">
        <f ca="1">K256*(1+D249)</f>
        <v>56180</v>
      </c>
      <c r="M256" s="69">
        <f ca="1">L256*(1+D249)</f>
        <v>59550.8</v>
      </c>
    </row>
    <row r="257" spans="3:15" ht="15.75" customHeight="1">
      <c r="C257" s="36"/>
      <c r="D257" s="36"/>
      <c r="F257" s="190" t="s">
        <v>256</v>
      </c>
      <c r="G257" s="190"/>
      <c r="H257" s="192">
        <f>K254</f>
        <v>2028</v>
      </c>
      <c r="I257" s="69"/>
      <c r="J257" s="69"/>
      <c r="K257" s="69">
        <f ca="1">Drivers!J72/2</f>
        <v>25000</v>
      </c>
      <c r="L257" s="69">
        <f ca="1">K257*2*(1+D249)</f>
        <v>53000</v>
      </c>
      <c r="M257" s="69">
        <f ca="1">L257*(1+D249)</f>
        <v>56180</v>
      </c>
    </row>
    <row r="258" spans="3:15" ht="15.75" customHeight="1">
      <c r="C258" s="36"/>
      <c r="D258" s="36"/>
      <c r="F258" s="190"/>
      <c r="G258" s="190"/>
      <c r="H258" s="192">
        <f>L254</f>
        <v>2029</v>
      </c>
      <c r="I258" s="69"/>
      <c r="J258" s="69"/>
      <c r="K258" s="69"/>
      <c r="L258" s="69">
        <f ca="1">Drivers!K72/2</f>
        <v>37500</v>
      </c>
      <c r="M258" s="69">
        <f ca="1">L258*2*(1+D249)</f>
        <v>79500</v>
      </c>
    </row>
    <row r="259" spans="3:15" ht="15.75" customHeight="1">
      <c r="C259" s="36"/>
      <c r="D259" s="36"/>
      <c r="F259" s="190"/>
      <c r="G259" s="190"/>
      <c r="H259" s="192">
        <f>M254</f>
        <v>2030</v>
      </c>
      <c r="I259" s="193"/>
      <c r="J259" s="193"/>
      <c r="K259" s="193"/>
      <c r="L259" s="193"/>
      <c r="M259" s="193">
        <f ca="1">Drivers!L72/2</f>
        <v>37500</v>
      </c>
    </row>
    <row r="260" spans="3:15" ht="15.75" customHeight="1">
      <c r="C260" s="36"/>
      <c r="D260" s="36"/>
      <c r="F260" s="194" t="s">
        <v>257</v>
      </c>
      <c r="G260" s="190"/>
      <c r="H260" s="190"/>
      <c r="I260" s="69">
        <f ca="1">SUM(I255:I259)</f>
        <v>0</v>
      </c>
      <c r="J260" s="69">
        <f ca="1">SUM(J255:J259)</f>
        <v>25000</v>
      </c>
      <c r="K260" s="69">
        <f ca="1">SUM(K255:K259)</f>
        <v>78000</v>
      </c>
      <c r="L260" s="69">
        <f ca="1">SUM(L255:L259)</f>
        <v>146680</v>
      </c>
      <c r="M260" s="69">
        <f ca="1">SUM(M255:M259)</f>
        <v>232730.8</v>
      </c>
    </row>
    <row r="261" spans="3:15" ht="15.75" customHeight="1">
      <c r="C261" s="36"/>
      <c r="D261" s="36"/>
      <c r="F261" s="194"/>
      <c r="G261" s="190"/>
      <c r="H261" s="190"/>
      <c r="I261" s="195"/>
      <c r="J261" s="195"/>
      <c r="K261" s="195"/>
      <c r="L261" s="195"/>
      <c r="M261" s="195"/>
    </row>
    <row r="262" spans="3:15" ht="15.75" customHeight="1">
      <c r="C262" s="189" t="s">
        <v>258</v>
      </c>
      <c r="D262" s="36"/>
      <c r="F262" s="190"/>
      <c r="G262" s="190"/>
      <c r="H262" s="190"/>
      <c r="I262" s="196">
        <f>I254</f>
        <v>2026</v>
      </c>
      <c r="J262" s="196">
        <f>J254</f>
        <v>2027</v>
      </c>
      <c r="K262" s="196">
        <f>K254</f>
        <v>2028</v>
      </c>
      <c r="L262" s="196">
        <f>L254</f>
        <v>2029</v>
      </c>
      <c r="M262" s="196">
        <f>M254</f>
        <v>2030</v>
      </c>
    </row>
    <row r="263" spans="3:15" ht="15.75" customHeight="1">
      <c r="C263" s="36"/>
      <c r="D263" s="36"/>
      <c r="F263" s="190"/>
      <c r="G263" s="190"/>
      <c r="H263" s="192">
        <f>H255</f>
        <v>2026</v>
      </c>
      <c r="I263" s="69">
        <f ca="1">Drivers!H78/2</f>
        <v>0</v>
      </c>
      <c r="J263" s="69">
        <f ca="1">I263</f>
        <v>0</v>
      </c>
      <c r="K263" s="69">
        <f ca="1">J263</f>
        <v>0</v>
      </c>
      <c r="L263" s="69">
        <f ca="1">K263</f>
        <v>0</v>
      </c>
      <c r="M263" s="69">
        <f ca="1">L263</f>
        <v>0</v>
      </c>
    </row>
    <row r="264" spans="3:15" ht="15.75" customHeight="1">
      <c r="C264" s="36"/>
      <c r="D264" s="36"/>
      <c r="F264" s="190" t="s">
        <v>255</v>
      </c>
      <c r="G264" s="190"/>
      <c r="H264" s="192">
        <f>H256</f>
        <v>2027</v>
      </c>
      <c r="I264" s="69"/>
      <c r="J264" s="69">
        <f ca="1">J256*(10%+D250/3)</f>
        <v>2916.6666666666665</v>
      </c>
      <c r="K264" s="69">
        <f ca="1">K256*(10%+D250*2/3)</f>
        <v>7066.666666666667</v>
      </c>
      <c r="L264" s="69">
        <f ca="1">L256*(10%+5%)</f>
        <v>8427.0000000000018</v>
      </c>
      <c r="M264" s="69">
        <f ca="1">M256*(10%+5%)</f>
        <v>8932.6200000000026</v>
      </c>
      <c r="O264" t="s">
        <v>259</v>
      </c>
    </row>
    <row r="265" spans="3:15" ht="15.75" customHeight="1">
      <c r="C265" s="36"/>
      <c r="D265" s="36"/>
      <c r="F265" s="190" t="s">
        <v>256</v>
      </c>
      <c r="G265" s="190"/>
      <c r="H265" s="192">
        <f>H257</f>
        <v>2028</v>
      </c>
      <c r="I265" s="69"/>
      <c r="J265" s="69"/>
      <c r="K265" s="69">
        <f ca="1">K257*(10%+D250/3)</f>
        <v>2916.6666666666665</v>
      </c>
      <c r="L265" s="69">
        <f ca="1">L257*(10%+D250*2/3)</f>
        <v>7066.666666666667</v>
      </c>
      <c r="M265" s="69">
        <f ca="1">M257*(10%+D250)</f>
        <v>8427.0000000000018</v>
      </c>
      <c r="O265" t="s">
        <v>260</v>
      </c>
    </row>
    <row r="266" spans="3:15" ht="15.75" customHeight="1">
      <c r="C266" s="36"/>
      <c r="D266" s="36"/>
      <c r="F266" s="190"/>
      <c r="G266" s="190"/>
      <c r="H266" s="192">
        <f>H258</f>
        <v>2029</v>
      </c>
      <c r="I266" s="69"/>
      <c r="J266" s="69"/>
      <c r="K266" s="69"/>
      <c r="L266" s="69">
        <f ca="1">L258*(10%+D250/3)</f>
        <v>4375</v>
      </c>
      <c r="M266" s="69">
        <f ca="1">M258*(10%+D250*2/3)</f>
        <v>10600</v>
      </c>
    </row>
    <row r="267" spans="3:15" ht="15.75" customHeight="1">
      <c r="C267" s="36"/>
      <c r="D267" s="36"/>
      <c r="F267" s="190"/>
      <c r="G267" s="190"/>
      <c r="H267" s="192">
        <f>H259</f>
        <v>2030</v>
      </c>
      <c r="I267" s="193"/>
      <c r="J267" s="193"/>
      <c r="K267" s="193"/>
      <c r="L267" s="193"/>
      <c r="M267" s="193">
        <f ca="1">M259*(10%+D250/3)</f>
        <v>4375</v>
      </c>
    </row>
    <row r="268" spans="3:15" ht="15.75" customHeight="1">
      <c r="C268" s="36"/>
      <c r="D268" s="36"/>
      <c r="F268" s="194" t="s">
        <v>261</v>
      </c>
      <c r="G268" s="190"/>
      <c r="H268" s="190"/>
      <c r="I268" s="69">
        <f ca="1">SUM(I263:I267)</f>
        <v>0</v>
      </c>
      <c r="J268" s="69">
        <f ca="1">SUM(J263:J267)</f>
        <v>2916.6666666666665</v>
      </c>
      <c r="K268" s="69">
        <f ca="1">SUM(K263:K267)</f>
        <v>9983.3333333333339</v>
      </c>
      <c r="L268" s="69">
        <f ca="1">SUM(L263:L267)</f>
        <v>19868.666666666668</v>
      </c>
      <c r="M268" s="69">
        <f ca="1">SUM(M263:M267)</f>
        <v>32334.620000000003</v>
      </c>
    </row>
    <row r="269" spans="3:15" ht="15.75" customHeight="1">
      <c r="F269" s="36" t="s">
        <v>262</v>
      </c>
      <c r="G269" s="36"/>
      <c r="H269" s="36"/>
      <c r="I269" s="155"/>
      <c r="J269" s="155">
        <f ca="1">J268/J260</f>
        <v>0.11666666666666665</v>
      </c>
      <c r="K269" s="155">
        <f ca="1">K268/K260</f>
        <v>0.12799145299145301</v>
      </c>
      <c r="L269" s="155">
        <f ca="1">L268/L260</f>
        <v>0.13545586764839559</v>
      </c>
      <c r="M269" s="155">
        <f ca="1">M268/M260</f>
        <v>0.1389357145680761</v>
      </c>
    </row>
    <row r="270" spans="3:15" ht="15.75" customHeight="1">
      <c r="F270" s="190"/>
      <c r="G270" s="190"/>
      <c r="H270" s="190"/>
      <c r="I270" s="195"/>
      <c r="J270" s="195"/>
      <c r="K270" s="195"/>
      <c r="L270" s="195"/>
      <c r="M270" s="195"/>
    </row>
    <row r="271" spans="3:15" ht="15.75" customHeight="1">
      <c r="C271" s="189"/>
      <c r="F271" s="194" t="s">
        <v>263</v>
      </c>
      <c r="G271" s="190"/>
      <c r="H271" s="190"/>
      <c r="I271" s="69">
        <v>0</v>
      </c>
      <c r="J271" s="69">
        <f ca="1">2*J256*$D$250</f>
        <v>2500</v>
      </c>
      <c r="K271" s="69">
        <f ca="1">2*K257*$D$250</f>
        <v>2500</v>
      </c>
      <c r="L271" s="69">
        <f ca="1">2*L258*$D$250</f>
        <v>3750</v>
      </c>
      <c r="M271" s="69">
        <f ca="1">2*M259*$D$250</f>
        <v>3750</v>
      </c>
      <c r="O271" t="s">
        <v>264</v>
      </c>
    </row>
    <row r="272" spans="3:15" ht="15.75" customHeight="1">
      <c r="H272" s="197"/>
      <c r="I272" s="198"/>
      <c r="J272" s="198"/>
      <c r="K272" s="198"/>
      <c r="L272" s="198"/>
      <c r="M272" s="198"/>
    </row>
    <row r="273" spans="2:13" ht="15.75" customHeight="1">
      <c r="B273" t="s">
        <v>0</v>
      </c>
      <c r="C273" s="119" t="s">
        <v>265</v>
      </c>
      <c r="D273" s="119"/>
      <c r="F273" s="25"/>
      <c r="H273" s="190"/>
      <c r="I273" s="198"/>
      <c r="J273" s="198"/>
      <c r="K273" s="198"/>
      <c r="L273" s="198"/>
      <c r="M273" s="198"/>
    </row>
    <row r="274" spans="2:13" ht="15.75" customHeight="1">
      <c r="C274" s="95" t="s">
        <v>266</v>
      </c>
      <c r="D274" s="155">
        <v>0.17</v>
      </c>
      <c r="E274" t="s">
        <v>267</v>
      </c>
    </row>
    <row r="275" spans="2:13" ht="15.75" customHeight="1">
      <c r="C275" s="95" t="s">
        <v>268</v>
      </c>
      <c r="D275" s="155">
        <f>('Sources &amp; Uses'!F8/'Sources &amp; Uses'!F10)*Model!I205+('Sources &amp; Uses'!F9/'Sources &amp; Uses'!F10)*Model!I214</f>
        <v>8.0923076923076931E-2</v>
      </c>
      <c r="E275" t="s">
        <v>269</v>
      </c>
    </row>
    <row r="276" spans="2:13" ht="15.75" customHeight="1">
      <c r="C276" s="95" t="s">
        <v>270</v>
      </c>
      <c r="D276" s="155">
        <f>D275*(1-Drivers!H44)</f>
        <v>5.6646153846153846E-2</v>
      </c>
    </row>
    <row r="277" spans="2:13" ht="15.75" customHeight="1">
      <c r="C277" s="199" t="s">
        <v>213</v>
      </c>
      <c r="D277" s="200">
        <f>D274*'Sources &amp; Uses'!F14/('Sources &amp; Uses'!F14+'Sources &amp; Uses'!F10)+Model!D276*'Sources &amp; Uses'!F10/('Sources &amp; Uses'!F10+'Sources &amp; Uses'!F14)</f>
        <v>0.12062484902770462</v>
      </c>
    </row>
  </sheetData>
  <mergeCells count="1">
    <mergeCell ref="I118:M118"/>
  </mergeCells>
  <pageMargins left="0.7" right="0.7" top="0.75" bottom="0.75" header="0.511811023622047" footer="0.511811023622047"/>
  <pageSetup paperSize="9" fitToHeight="15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P76"/>
  <sheetViews>
    <sheetView showGridLines="0" topLeftCell="A52" zoomScale="125" zoomScaleNormal="125" workbookViewId="0">
      <selection activeCell="I78" sqref="I78"/>
    </sheetView>
  </sheetViews>
  <sheetFormatPr baseColWidth="10" defaultColWidth="11" defaultRowHeight="16"/>
  <cols>
    <col min="1" max="1" width="3.1640625" customWidth="1"/>
    <col min="2" max="2" width="2.1640625" customWidth="1"/>
    <col min="3" max="3" width="29" customWidth="1"/>
    <col min="4" max="4" width="13.1640625" customWidth="1"/>
    <col min="5" max="5" width="12.1640625" customWidth="1"/>
    <col min="7" max="7" width="8.33203125" customWidth="1"/>
    <col min="8" max="8" width="10.83203125" customWidth="1"/>
    <col min="9" max="9" width="14.83203125" customWidth="1"/>
    <col min="10" max="10" width="24.83203125" customWidth="1"/>
    <col min="11" max="11" width="8.83203125" customWidth="1"/>
  </cols>
  <sheetData>
    <row r="1" spans="2:12" ht="15.75" customHeight="1"/>
    <row r="2" spans="2:12" ht="15.75" customHeight="1">
      <c r="B2" t="s">
        <v>0</v>
      </c>
      <c r="C2" s="201" t="s">
        <v>271</v>
      </c>
      <c r="D2" s="201"/>
      <c r="E2" s="201"/>
      <c r="F2" s="201"/>
      <c r="G2" s="202"/>
      <c r="J2" s="203" t="s">
        <v>272</v>
      </c>
      <c r="K2" s="1"/>
      <c r="L2" s="1"/>
    </row>
    <row r="3" spans="2:12" ht="15.75" customHeight="1">
      <c r="C3" s="174" t="s">
        <v>273</v>
      </c>
      <c r="D3" s="174"/>
      <c r="E3" s="204">
        <v>0.4</v>
      </c>
      <c r="F3" s="205"/>
      <c r="G3" s="68"/>
      <c r="J3" s="206" t="s">
        <v>274</v>
      </c>
      <c r="K3" s="207"/>
      <c r="L3" s="69">
        <f>Model!H37</f>
        <v>808172.12284214864</v>
      </c>
    </row>
    <row r="4" spans="2:12" ht="15.75" customHeight="1">
      <c r="C4" s="174" t="s">
        <v>275</v>
      </c>
      <c r="D4" s="174"/>
      <c r="E4" s="208">
        <f>SUM(F7:F9)</f>
        <v>5253118.7984739663</v>
      </c>
      <c r="F4" s="68"/>
      <c r="G4" s="68"/>
      <c r="J4" s="206" t="s">
        <v>276</v>
      </c>
      <c r="K4" s="207"/>
      <c r="L4" s="209">
        <v>14.5</v>
      </c>
    </row>
    <row r="5" spans="2:12" ht="15.75" customHeight="1">
      <c r="C5" s="68"/>
      <c r="D5" s="68"/>
      <c r="E5" s="68"/>
      <c r="F5" s="68"/>
      <c r="G5" s="68"/>
      <c r="J5" s="206"/>
      <c r="K5" s="207"/>
      <c r="L5" s="210"/>
    </row>
    <row r="6" spans="2:12" ht="15.75" customHeight="1">
      <c r="C6" s="160" t="s">
        <v>277</v>
      </c>
      <c r="D6" s="160"/>
      <c r="E6" s="211" t="s">
        <v>278</v>
      </c>
      <c r="F6" s="211" t="s">
        <v>279</v>
      </c>
      <c r="G6" s="212"/>
      <c r="J6" s="206" t="s">
        <v>280</v>
      </c>
      <c r="K6" s="207"/>
      <c r="L6" s="69">
        <f>L4*L3</f>
        <v>11718495.781211155</v>
      </c>
    </row>
    <row r="7" spans="2:12" ht="15.75" customHeight="1">
      <c r="C7" s="44" t="s">
        <v>138</v>
      </c>
      <c r="D7" s="44"/>
      <c r="E7" s="213"/>
      <c r="F7" s="69">
        <v>0</v>
      </c>
      <c r="G7" s="69"/>
      <c r="J7" s="206"/>
      <c r="K7" s="207"/>
      <c r="L7" s="210"/>
    </row>
    <row r="8" spans="2:12" ht="15.75" customHeight="1">
      <c r="C8" s="44" t="s">
        <v>281</v>
      </c>
      <c r="D8" s="44"/>
      <c r="E8" s="152">
        <f>D74</f>
        <v>4.5</v>
      </c>
      <c r="F8" s="69">
        <f>E8*L3</f>
        <v>3636774.552789669</v>
      </c>
      <c r="G8" s="69"/>
      <c r="J8" s="214" t="s">
        <v>282</v>
      </c>
      <c r="K8" s="207"/>
      <c r="L8" s="69">
        <f>Model!G70+Model!G68</f>
        <v>2214605</v>
      </c>
    </row>
    <row r="9" spans="2:12" ht="15.75" customHeight="1">
      <c r="C9" s="44" t="s">
        <v>227</v>
      </c>
      <c r="D9" s="44"/>
      <c r="E9" s="152">
        <f>MIN(D75,D76-E8)</f>
        <v>2</v>
      </c>
      <c r="F9" s="69">
        <f>E9*L3</f>
        <v>1616344.2456842973</v>
      </c>
      <c r="G9" s="69"/>
      <c r="J9" s="215"/>
      <c r="K9" s="207"/>
      <c r="L9" s="69"/>
    </row>
    <row r="10" spans="2:12" ht="15.75" customHeight="1">
      <c r="C10" s="216" t="s">
        <v>283</v>
      </c>
      <c r="D10" s="216"/>
      <c r="E10" s="217">
        <f>F10/L3</f>
        <v>6.5</v>
      </c>
      <c r="F10" s="71">
        <f>SUM(F7:F9)</f>
        <v>5253118.7984739663</v>
      </c>
      <c r="G10" s="71"/>
      <c r="J10" s="215" t="s">
        <v>284</v>
      </c>
      <c r="K10" s="207"/>
      <c r="L10" s="69">
        <f>L11</f>
        <v>289717</v>
      </c>
    </row>
    <row r="11" spans="2:12" ht="15.75" customHeight="1">
      <c r="C11" s="218" t="s">
        <v>285</v>
      </c>
      <c r="D11" s="218"/>
      <c r="E11" s="219"/>
      <c r="F11" s="220">
        <f>F10/F17</f>
        <v>0.4253656590025045</v>
      </c>
      <c r="G11" s="220"/>
      <c r="J11" s="221" t="s">
        <v>286</v>
      </c>
      <c r="K11" s="222"/>
      <c r="L11" s="69">
        <f>Model!G44</f>
        <v>289717</v>
      </c>
    </row>
    <row r="12" spans="2:12" ht="15.75" customHeight="1">
      <c r="C12" s="44" t="s">
        <v>287</v>
      </c>
      <c r="D12" s="44"/>
      <c r="E12" s="213"/>
      <c r="F12" s="69">
        <f>L10</f>
        <v>289717</v>
      </c>
      <c r="J12" s="223" t="s">
        <v>288</v>
      </c>
      <c r="K12" s="224"/>
      <c r="L12" s="225">
        <f>L6-L8+L10</f>
        <v>9793607.7812111545</v>
      </c>
    </row>
    <row r="13" spans="2:12" ht="15.75" customHeight="1">
      <c r="C13" s="44"/>
      <c r="E13" s="213"/>
      <c r="F13" s="69"/>
      <c r="G13" s="69"/>
      <c r="H13" s="220"/>
    </row>
    <row r="14" spans="2:12" ht="15.75" customHeight="1">
      <c r="C14" s="44" t="s">
        <v>289</v>
      </c>
      <c r="D14" s="44"/>
      <c r="E14" s="217">
        <f>F14/L3</f>
        <v>8.4224860175804164</v>
      </c>
      <c r="F14" s="69">
        <f>F17-F10-F12-F13</f>
        <v>6806818.40443628</v>
      </c>
      <c r="G14" s="220">
        <f>F14/SUM(F13:F14)</f>
        <v>1</v>
      </c>
    </row>
    <row r="15" spans="2:12" ht="15.75" customHeight="1">
      <c r="C15" s="218" t="s">
        <v>285</v>
      </c>
      <c r="D15" s="218"/>
      <c r="E15" s="219"/>
      <c r="F15" s="220">
        <f>F14/F17</f>
        <v>0.5511748177396113</v>
      </c>
      <c r="G15" s="220"/>
    </row>
    <row r="16" spans="2:12" ht="15.75" customHeight="1">
      <c r="C16" s="68"/>
      <c r="D16" s="68"/>
      <c r="E16" s="152"/>
      <c r="F16" s="226"/>
      <c r="G16" s="226"/>
      <c r="J16" s="307"/>
      <c r="K16" s="307"/>
      <c r="L16" s="307"/>
    </row>
    <row r="17" spans="2:16" ht="15.75" customHeight="1">
      <c r="C17" s="227" t="s">
        <v>290</v>
      </c>
      <c r="D17" s="227"/>
      <c r="E17" s="228">
        <f>F17/L3</f>
        <v>15.280970295633876</v>
      </c>
      <c r="F17" s="225">
        <f>SUM(F24)</f>
        <v>12349654.202910246</v>
      </c>
      <c r="G17" s="71"/>
      <c r="J17" s="214"/>
      <c r="L17" s="71"/>
    </row>
    <row r="18" spans="2:16" ht="15.75" customHeight="1">
      <c r="J18" s="214"/>
      <c r="L18" s="71"/>
    </row>
    <row r="19" spans="2:16" ht="15.75" customHeight="1">
      <c r="C19" s="160" t="s">
        <v>291</v>
      </c>
      <c r="D19" s="160"/>
      <c r="E19" s="160"/>
      <c r="F19" s="229" t="s">
        <v>279</v>
      </c>
      <c r="G19" s="230"/>
      <c r="J19" s="214"/>
      <c r="L19" s="71"/>
    </row>
    <row r="20" spans="2:16" ht="15.75" customHeight="1">
      <c r="C20" s="44" t="s">
        <v>292</v>
      </c>
      <c r="D20" s="44"/>
      <c r="E20" s="68"/>
      <c r="F20" s="231">
        <f>L12</f>
        <v>9793607.7812111545</v>
      </c>
      <c r="G20" s="69"/>
    </row>
    <row r="21" spans="2:16" ht="15.75" customHeight="1">
      <c r="C21" s="44" t="s">
        <v>293</v>
      </c>
      <c r="D21" s="44"/>
      <c r="E21" s="68"/>
      <c r="F21" s="69">
        <f>L8</f>
        <v>2214605</v>
      </c>
      <c r="G21" s="69"/>
    </row>
    <row r="22" spans="2:16" ht="15.75" customHeight="1">
      <c r="C22" s="44" t="s">
        <v>294</v>
      </c>
      <c r="D22" s="44"/>
      <c r="E22" s="68"/>
      <c r="F22" s="69">
        <f>G31+E34</f>
        <v>241441.42169909191</v>
      </c>
      <c r="G22" s="69"/>
    </row>
    <row r="23" spans="2:16" ht="15.75" customHeight="1">
      <c r="C23" s="44" t="s">
        <v>287</v>
      </c>
      <c r="D23" s="44"/>
      <c r="E23" s="68"/>
      <c r="F23" s="69">
        <f>-Model!I144</f>
        <v>100000</v>
      </c>
      <c r="G23" s="69"/>
      <c r="L23" s="72"/>
      <c r="M23" s="52"/>
      <c r="N23" s="52"/>
      <c r="O23" s="52"/>
      <c r="P23" s="52"/>
    </row>
    <row r="24" spans="2:16" ht="15.75" customHeight="1">
      <c r="C24" s="227" t="s">
        <v>295</v>
      </c>
      <c r="D24" s="227"/>
      <c r="E24" s="205"/>
      <c r="F24" s="225">
        <f>SUM(F20:F23)</f>
        <v>12349654.202910246</v>
      </c>
      <c r="G24" s="71"/>
      <c r="L24" s="52"/>
      <c r="M24" s="232"/>
      <c r="N24" s="232"/>
      <c r="O24" s="232"/>
      <c r="P24" s="232"/>
    </row>
    <row r="25" spans="2:16" ht="15.75" customHeight="1">
      <c r="C25" s="25"/>
      <c r="D25" s="25"/>
      <c r="E25" s="68"/>
      <c r="F25" s="71"/>
      <c r="G25" s="71"/>
      <c r="L25" s="60"/>
      <c r="M25" s="52"/>
      <c r="N25" s="52"/>
      <c r="O25" s="52"/>
      <c r="P25" s="52"/>
    </row>
    <row r="26" spans="2:16" ht="15.75" customHeight="1">
      <c r="B26" t="s">
        <v>0</v>
      </c>
      <c r="C26" s="233" t="s">
        <v>296</v>
      </c>
      <c r="D26" s="202"/>
      <c r="E26" s="202"/>
      <c r="F26" s="202"/>
      <c r="G26" s="234"/>
      <c r="H26" s="234"/>
      <c r="L26" s="235"/>
      <c r="M26" s="43"/>
      <c r="N26" s="236"/>
      <c r="O26" s="237"/>
      <c r="P26" s="238"/>
    </row>
    <row r="27" spans="2:16" ht="15.75" customHeight="1">
      <c r="C27" s="239" t="s">
        <v>297</v>
      </c>
      <c r="D27" s="240" t="s">
        <v>298</v>
      </c>
      <c r="E27" s="240" t="s">
        <v>299</v>
      </c>
      <c r="F27" s="240" t="s">
        <v>300</v>
      </c>
      <c r="G27" s="240" t="s">
        <v>296</v>
      </c>
      <c r="H27" s="240" t="s">
        <v>301</v>
      </c>
      <c r="I27" s="240" t="s">
        <v>302</v>
      </c>
      <c r="L27" s="235"/>
      <c r="M27" s="43"/>
      <c r="N27" s="236"/>
      <c r="O27" s="237"/>
      <c r="P27" s="238"/>
    </row>
    <row r="28" spans="2:16" ht="15.75" customHeight="1">
      <c r="C28" s="44" t="s">
        <v>138</v>
      </c>
      <c r="D28" s="241">
        <f>F7</f>
        <v>0</v>
      </c>
      <c r="E28" s="152">
        <v>0</v>
      </c>
      <c r="F28" s="242">
        <v>0.02</v>
      </c>
      <c r="G28" s="91">
        <f>D73*L3*0.005</f>
        <v>4040.8606142107433</v>
      </c>
      <c r="H28" s="243">
        <f>G73</f>
        <v>5</v>
      </c>
      <c r="I28" s="244">
        <f>G28/H28</f>
        <v>808.17212284214861</v>
      </c>
      <c r="L28" s="235"/>
      <c r="M28" s="43"/>
      <c r="N28" s="236"/>
      <c r="O28" s="237"/>
      <c r="P28" s="238"/>
    </row>
    <row r="29" spans="2:16" ht="15.75" customHeight="1">
      <c r="C29" s="44" t="s">
        <v>281</v>
      </c>
      <c r="D29" s="241">
        <f>F8</f>
        <v>3636774.552789669</v>
      </c>
      <c r="E29" s="152">
        <f>E8</f>
        <v>4.5</v>
      </c>
      <c r="F29" s="242">
        <f>1-F74+0.0225</f>
        <v>2.7500000000000004E-2</v>
      </c>
      <c r="G29" s="91">
        <f>D29*F29</f>
        <v>100011.30020171592</v>
      </c>
      <c r="H29" s="243">
        <f>G74</f>
        <v>7</v>
      </c>
      <c r="I29" s="244">
        <f>G29/H29</f>
        <v>14287.328600245131</v>
      </c>
      <c r="L29" s="235"/>
      <c r="M29" s="43"/>
      <c r="N29" s="236"/>
      <c r="O29" s="237"/>
      <c r="P29" s="238"/>
    </row>
    <row r="30" spans="2:16" ht="15.75" customHeight="1">
      <c r="C30" s="44" t="s">
        <v>227</v>
      </c>
      <c r="D30" s="241">
        <f>F9</f>
        <v>1616344.2456842973</v>
      </c>
      <c r="E30" s="152">
        <f>E9</f>
        <v>2</v>
      </c>
      <c r="F30" s="242">
        <v>1.2500000000000001E-2</v>
      </c>
      <c r="G30" s="91">
        <f>D30*F30</f>
        <v>20204.303071053717</v>
      </c>
      <c r="H30" s="243">
        <f>G75</f>
        <v>9</v>
      </c>
      <c r="I30" s="245">
        <f>G30/H30</f>
        <v>2244.9225634504128</v>
      </c>
      <c r="L30" s="235"/>
      <c r="M30" s="43"/>
      <c r="N30" s="236"/>
      <c r="O30" s="237"/>
      <c r="P30" s="238"/>
    </row>
    <row r="31" spans="2:16" ht="15.75" customHeight="1">
      <c r="C31" s="150" t="s">
        <v>132</v>
      </c>
      <c r="D31" s="234"/>
      <c r="E31" s="234"/>
      <c r="F31" s="234"/>
      <c r="G31" s="225">
        <f>SUM(G28:G30)</f>
        <v>124256.46388698037</v>
      </c>
      <c r="I31" s="91">
        <f>SUM(I28:I30)</f>
        <v>17340.423286537691</v>
      </c>
      <c r="L31" s="246"/>
      <c r="M31" s="52"/>
      <c r="N31" s="247"/>
      <c r="O31" s="248"/>
      <c r="P31" s="236"/>
    </row>
    <row r="32" spans="2:16" ht="15.75" customHeight="1">
      <c r="L32" s="52"/>
      <c r="M32" s="52"/>
      <c r="N32" s="247"/>
      <c r="O32" s="52"/>
      <c r="P32" s="52"/>
    </row>
    <row r="33" spans="2:16" ht="15.75" customHeight="1">
      <c r="C33" s="199"/>
      <c r="D33" s="249" t="s">
        <v>303</v>
      </c>
      <c r="E33" s="249" t="s">
        <v>304</v>
      </c>
      <c r="O33" s="52"/>
      <c r="P33" s="52"/>
    </row>
    <row r="34" spans="2:16" ht="15.75" customHeight="1">
      <c r="C34" s="250" t="s">
        <v>305</v>
      </c>
      <c r="D34" s="251">
        <v>0.01</v>
      </c>
      <c r="E34" s="71">
        <f>D34*L6</f>
        <v>117184.95781211155</v>
      </c>
      <c r="O34" s="52"/>
      <c r="P34" s="52"/>
    </row>
    <row r="35" spans="2:16" ht="15.75" customHeight="1">
      <c r="C35" t="s">
        <v>306</v>
      </c>
      <c r="D35" s="252">
        <f>F15</f>
        <v>0.5511748177396113</v>
      </c>
    </row>
    <row r="36" spans="2:16" ht="15.75" customHeight="1">
      <c r="B36" t="s">
        <v>0</v>
      </c>
      <c r="C36" s="233" t="s">
        <v>307</v>
      </c>
      <c r="D36" s="202"/>
      <c r="E36" s="202"/>
      <c r="F36" s="202"/>
    </row>
    <row r="37" spans="2:16" ht="15.75" customHeight="1">
      <c r="C37" s="253" t="str">
        <f>Model!C91</f>
        <v xml:space="preserve">Fiscal year  </v>
      </c>
      <c r="D37" s="253"/>
      <c r="E37" s="253"/>
      <c r="F37" s="253"/>
      <c r="G37" s="253"/>
      <c r="H37" s="254">
        <f>Model!H3</f>
        <v>2025</v>
      </c>
      <c r="I37" s="255">
        <f>Model!I3</f>
        <v>2026</v>
      </c>
      <c r="J37" s="255">
        <f>Model!J3</f>
        <v>2027</v>
      </c>
      <c r="K37" s="255">
        <f>Model!K3</f>
        <v>2028</v>
      </c>
      <c r="L37" s="255">
        <f>Model!L3</f>
        <v>2029</v>
      </c>
      <c r="M37" s="255">
        <f>Model!M3</f>
        <v>2030</v>
      </c>
    </row>
    <row r="38" spans="2:16" ht="15.75" customHeight="1">
      <c r="C38" s="256" t="str">
        <f>Model!C92</f>
        <v>Fiscal year end date</v>
      </c>
      <c r="D38" s="256"/>
      <c r="E38" s="256"/>
      <c r="F38" s="256"/>
      <c r="G38" s="256"/>
      <c r="H38" s="256">
        <f>Drivers!D9</f>
        <v>46022</v>
      </c>
      <c r="I38" s="85">
        <f>Model!I4</f>
        <v>46387</v>
      </c>
      <c r="J38" s="85">
        <f>Model!J4</f>
        <v>46752</v>
      </c>
      <c r="K38" s="85">
        <f>Model!K4</f>
        <v>47118</v>
      </c>
      <c r="L38" s="85">
        <f>Model!L4</f>
        <v>47483</v>
      </c>
      <c r="M38" s="85">
        <f>Model!M4</f>
        <v>47848</v>
      </c>
    </row>
    <row r="39" spans="2:16" ht="15.75" customHeight="1"/>
    <row r="40" spans="2:16" ht="15.75" customHeight="1">
      <c r="C40" t="s">
        <v>308</v>
      </c>
      <c r="E40" s="104"/>
      <c r="F40" s="104"/>
      <c r="G40" s="104"/>
      <c r="H40" s="91">
        <f>-'Sources &amp; Uses'!F14</f>
        <v>-6806818.40443628</v>
      </c>
      <c r="I40" s="91">
        <v>0</v>
      </c>
      <c r="J40" s="91">
        <v>0</v>
      </c>
      <c r="K40" s="91">
        <v>0</v>
      </c>
      <c r="L40" s="91">
        <v>0</v>
      </c>
      <c r="M40" s="91">
        <v>0</v>
      </c>
    </row>
    <row r="41" spans="2:16" ht="15.75" customHeight="1">
      <c r="C41" t="s">
        <v>309</v>
      </c>
      <c r="E41" s="104"/>
      <c r="F41" s="104"/>
      <c r="G41" s="104"/>
      <c r="H41" s="91">
        <v>0</v>
      </c>
      <c r="I41" s="91">
        <v>0</v>
      </c>
      <c r="J41" s="91">
        <v>0</v>
      </c>
      <c r="K41" s="91">
        <v>0</v>
      </c>
      <c r="L41" s="91">
        <v>0</v>
      </c>
      <c r="M41" s="91">
        <v>0</v>
      </c>
    </row>
    <row r="42" spans="2:16" ht="15.75" customHeight="1">
      <c r="C42" t="s">
        <v>310</v>
      </c>
      <c r="E42" s="104"/>
      <c r="F42" s="104"/>
      <c r="G42" s="104"/>
      <c r="H42" s="91">
        <v>0</v>
      </c>
      <c r="I42" s="91">
        <v>0</v>
      </c>
      <c r="J42" s="91">
        <v>0</v>
      </c>
      <c r="K42" s="91">
        <v>0</v>
      </c>
      <c r="L42" s="91">
        <v>0</v>
      </c>
      <c r="M42" s="91">
        <f ca="1">M50</f>
        <v>16533437.596044242</v>
      </c>
    </row>
    <row r="43" spans="2:16" ht="15.75" customHeight="1">
      <c r="C43" s="25" t="s">
        <v>311</v>
      </c>
      <c r="E43" s="104"/>
      <c r="F43" s="104"/>
      <c r="G43" s="104"/>
      <c r="H43" s="71">
        <f t="shared" ref="H43:M43" si="0">SUM(H40:H42)</f>
        <v>-6806818.40443628</v>
      </c>
      <c r="I43" s="71">
        <f t="shared" si="0"/>
        <v>0</v>
      </c>
      <c r="J43" s="71">
        <f t="shared" si="0"/>
        <v>0</v>
      </c>
      <c r="K43" s="71">
        <f t="shared" si="0"/>
        <v>0</v>
      </c>
      <c r="L43" s="71">
        <f t="shared" si="0"/>
        <v>0</v>
      </c>
      <c r="M43" s="71">
        <f t="shared" ca="1" si="0"/>
        <v>16533437.596044242</v>
      </c>
    </row>
    <row r="44" spans="2:16" ht="15.75" customHeight="1">
      <c r="C44" s="25"/>
      <c r="E44" s="104"/>
      <c r="F44" s="104"/>
      <c r="G44" s="104"/>
      <c r="H44" s="71"/>
      <c r="I44" s="71"/>
      <c r="J44" s="71"/>
      <c r="K44" s="71"/>
      <c r="L44" s="71"/>
      <c r="M44" s="71"/>
    </row>
    <row r="45" spans="2:16" ht="15.75" customHeight="1">
      <c r="C45" t="s">
        <v>312</v>
      </c>
      <c r="D45" s="257">
        <v>0.08</v>
      </c>
      <c r="M45" s="91">
        <f ca="1">D45*M49</f>
        <v>1437690.2257429776</v>
      </c>
    </row>
    <row r="46" spans="2:16" ht="15.75" customHeight="1"/>
    <row r="47" spans="2:16" ht="15.75" customHeight="1">
      <c r="C47" t="s">
        <v>313</v>
      </c>
      <c r="D47" s="209">
        <f>Model!F191</f>
        <v>14.5</v>
      </c>
      <c r="M47" s="91">
        <f ca="1">D47*Model!M185</f>
        <v>22294944.206721134</v>
      </c>
    </row>
    <row r="48" spans="2:16" ht="15.75" customHeight="1">
      <c r="C48" t="s">
        <v>314</v>
      </c>
      <c r="M48" s="91">
        <f ca="1">-(Model!M70+Model!M68)+Model!M44</f>
        <v>-4323816.3849339159</v>
      </c>
    </row>
    <row r="49" spans="3:13" ht="15.75" customHeight="1">
      <c r="C49" s="25" t="s">
        <v>315</v>
      </c>
      <c r="D49" s="258"/>
      <c r="H49" s="71"/>
      <c r="M49" s="71">
        <f ca="1">SUM(M47,M48)</f>
        <v>17971127.821787219</v>
      </c>
    </row>
    <row r="50" spans="3:13" ht="15.75" customHeight="1">
      <c r="C50" t="s">
        <v>289</v>
      </c>
      <c r="D50" s="259">
        <f>1-D45</f>
        <v>0.92</v>
      </c>
      <c r="M50" s="91">
        <f ca="1">D50*M49</f>
        <v>16533437.596044242</v>
      </c>
    </row>
    <row r="52" spans="3:13" ht="15.75" customHeight="1">
      <c r="C52" s="25" t="s">
        <v>316</v>
      </c>
      <c r="D52" s="260">
        <f ca="1">IRR(H43:M43)</f>
        <v>0.1942185124549225</v>
      </c>
    </row>
    <row r="53" spans="3:13" ht="15.75" customHeight="1">
      <c r="C53" s="25" t="s">
        <v>317</v>
      </c>
      <c r="D53" s="261">
        <f ca="1">M43/-H40</f>
        <v>2.4289523553718912</v>
      </c>
      <c r="M53" s="91"/>
    </row>
    <row r="55" spans="3:13" ht="15.75" customHeight="1">
      <c r="C55" t="s">
        <v>318</v>
      </c>
      <c r="D55" s="262"/>
      <c r="F55" s="6" t="s">
        <v>319</v>
      </c>
      <c r="G55" s="6"/>
      <c r="H55" s="6"/>
      <c r="I55" s="6"/>
    </row>
    <row r="56" spans="3:13" ht="15.75" customHeight="1">
      <c r="E56" s="262">
        <f ca="1">D52</f>
        <v>0.1942185124549225</v>
      </c>
      <c r="F56" s="263">
        <f>G56-1</f>
        <v>12.5</v>
      </c>
      <c r="G56" s="263">
        <f>H56-1</f>
        <v>13.5</v>
      </c>
      <c r="H56" s="263">
        <v>14.5</v>
      </c>
      <c r="I56" s="263">
        <f>H56+1</f>
        <v>15.5</v>
      </c>
    </row>
    <row r="57" spans="3:13" ht="15.75" customHeight="1">
      <c r="D57" t="s">
        <v>320</v>
      </c>
      <c r="E57" s="264">
        <f>E58-1</f>
        <v>12.5</v>
      </c>
      <c r="F57" s="265">
        <f t="dataTable" ref="F57:I61" dt2D="1" dtr="1" r1="D47" r2="L4" ca="1"/>
        <v>0.21506855596081986</v>
      </c>
      <c r="G57" s="265">
        <v>0.23917692776687094</v>
      </c>
      <c r="H57" s="265">
        <v>0.26154321226175559</v>
      </c>
      <c r="I57" s="265">
        <v>0.28242736309549477</v>
      </c>
    </row>
    <row r="58" spans="3:13" ht="15.75" customHeight="1">
      <c r="D58" t="s">
        <v>321</v>
      </c>
      <c r="E58" s="264">
        <f>E59-1</f>
        <v>13.5</v>
      </c>
      <c r="F58" s="265">
        <v>0.17998838510667681</v>
      </c>
      <c r="G58" s="265">
        <v>0.20340072556715172</v>
      </c>
      <c r="H58" s="265">
        <v>0.22512127441394814</v>
      </c>
      <c r="I58" s="265">
        <v>0.24540248019097</v>
      </c>
    </row>
    <row r="59" spans="3:13" ht="15.75" customHeight="1">
      <c r="E59" s="264">
        <v>14.5</v>
      </c>
      <c r="F59" s="265">
        <v>0.15022406630745211</v>
      </c>
      <c r="G59" s="265">
        <v>0.17304584810303103</v>
      </c>
      <c r="H59" s="265">
        <v>0.1942185124549225</v>
      </c>
      <c r="I59" s="265">
        <v>0.21398814008253075</v>
      </c>
    </row>
    <row r="60" spans="3:13" ht="15.75" customHeight="1">
      <c r="E60" s="264">
        <f>E59+1</f>
        <v>15.5</v>
      </c>
      <c r="F60" s="265">
        <v>0.12446327485997211</v>
      </c>
      <c r="G60" s="265">
        <v>0.14677393262457561</v>
      </c>
      <c r="H60" s="265">
        <v>0.16747240711491451</v>
      </c>
      <c r="I60" s="265">
        <v>0.18679926774674649</v>
      </c>
    </row>
    <row r="61" spans="3:13" ht="15.75" customHeight="1">
      <c r="E61" s="264">
        <f>E60+1</f>
        <v>16.5</v>
      </c>
      <c r="F61" s="265">
        <v>0.10181766107204648</v>
      </c>
      <c r="G61" s="265">
        <v>0.12367900354962602</v>
      </c>
      <c r="H61" s="265">
        <v>0.14396063058056852</v>
      </c>
      <c r="I61" s="265">
        <v>0.16289826674292729</v>
      </c>
    </row>
    <row r="63" spans="3:13" ht="15.75" customHeight="1">
      <c r="C63" t="s">
        <v>322</v>
      </c>
      <c r="F63" s="6" t="s">
        <v>319</v>
      </c>
      <c r="G63" s="6"/>
      <c r="H63" s="6"/>
      <c r="I63" s="6"/>
    </row>
    <row r="64" spans="3:13" ht="15.75" customHeight="1">
      <c r="E64" s="266">
        <f ca="1">D53</f>
        <v>2.4289523553718912</v>
      </c>
      <c r="F64" s="263">
        <f>G64-1</f>
        <v>12.5</v>
      </c>
      <c r="G64" s="263">
        <f>H64-1</f>
        <v>13.5</v>
      </c>
      <c r="H64" s="263">
        <v>14.5</v>
      </c>
      <c r="I64" s="263">
        <f>H64+1</f>
        <v>15.5</v>
      </c>
    </row>
    <row r="65" spans="2:9" ht="15.75" customHeight="1">
      <c r="D65" t="s">
        <v>320</v>
      </c>
      <c r="E65" s="264">
        <f>E66-1</f>
        <v>12.5</v>
      </c>
      <c r="F65" s="266">
        <f t="dataTable" ref="F65:I69" dt2D="1" dtr="1" r1="D47" r2="L4" ca="1"/>
        <v>2.6485239883587224</v>
      </c>
      <c r="G65" s="266">
        <v>2.9219083767184402</v>
      </c>
      <c r="H65" s="266">
        <v>3.1952927650781575</v>
      </c>
      <c r="I65" s="266">
        <v>3.4686771534378749</v>
      </c>
    </row>
    <row r="66" spans="2:9" ht="15.75" customHeight="1">
      <c r="D66" t="s">
        <v>321</v>
      </c>
      <c r="E66" s="264">
        <f>E67-1</f>
        <v>13.5</v>
      </c>
      <c r="F66" s="266">
        <v>2.2876451655322225</v>
      </c>
      <c r="G66" s="266">
        <v>2.5237791318893303</v>
      </c>
      <c r="H66" s="266">
        <v>2.7599130982464382</v>
      </c>
      <c r="I66" s="266">
        <v>2.996047064603546</v>
      </c>
    </row>
    <row r="67" spans="2:9" ht="15.75" customHeight="1">
      <c r="E67" s="264">
        <v>14.5</v>
      </c>
      <c r="F67" s="266">
        <v>2.0133174180756233</v>
      </c>
      <c r="G67" s="266">
        <v>2.2211348867237573</v>
      </c>
      <c r="H67" s="266">
        <v>2.4289523553718912</v>
      </c>
      <c r="I67" s="266">
        <v>2.6367698240200257</v>
      </c>
    </row>
    <row r="68" spans="2:9" ht="15.75" customHeight="1">
      <c r="E68" s="264">
        <f>E67+1</f>
        <v>15.5</v>
      </c>
      <c r="F68" s="266">
        <v>1.7977379209561573</v>
      </c>
      <c r="G68" s="266">
        <v>1.9833029693045519</v>
      </c>
      <c r="H68" s="266">
        <v>2.1688680176529465</v>
      </c>
      <c r="I68" s="266">
        <v>2.3544330660013411</v>
      </c>
    </row>
    <row r="69" spans="2:9" ht="15.75" customHeight="1">
      <c r="E69" s="264">
        <f>E68+1</f>
        <v>16.5</v>
      </c>
      <c r="F69" s="266">
        <v>1.6238602354022693</v>
      </c>
      <c r="G69" s="266">
        <v>1.7914773833640754</v>
      </c>
      <c r="H69" s="266">
        <v>1.9590945313258814</v>
      </c>
      <c r="I69" s="266">
        <v>2.1267116792876872</v>
      </c>
    </row>
    <row r="71" spans="2:9" ht="15.75" customHeight="1">
      <c r="B71" s="267" t="s">
        <v>0</v>
      </c>
      <c r="C71" s="267" t="s">
        <v>323</v>
      </c>
    </row>
    <row r="72" spans="2:9" ht="15.75" customHeight="1">
      <c r="C72" s="268" t="s">
        <v>324</v>
      </c>
      <c r="D72" s="268" t="s">
        <v>325</v>
      </c>
      <c r="E72" s="268" t="s">
        <v>326</v>
      </c>
      <c r="F72" s="268" t="s">
        <v>327</v>
      </c>
      <c r="G72" s="268" t="s">
        <v>328</v>
      </c>
      <c r="H72" s="268" t="s">
        <v>329</v>
      </c>
    </row>
    <row r="73" spans="2:9" ht="15.75" customHeight="1">
      <c r="C73" s="269" t="s">
        <v>330</v>
      </c>
      <c r="D73" s="270">
        <v>1</v>
      </c>
      <c r="E73" s="271">
        <v>6.3E-2</v>
      </c>
      <c r="F73" s="272">
        <v>1</v>
      </c>
      <c r="G73" s="273">
        <v>5</v>
      </c>
      <c r="H73" s="274">
        <v>0</v>
      </c>
      <c r="I73" s="275" t="s">
        <v>331</v>
      </c>
    </row>
    <row r="74" spans="2:9" ht="15.75" customHeight="1">
      <c r="C74" s="275" t="s">
        <v>219</v>
      </c>
      <c r="D74" s="276">
        <v>4.5</v>
      </c>
      <c r="E74" s="277">
        <v>7.8E-2</v>
      </c>
      <c r="F74" s="278">
        <v>0.995</v>
      </c>
      <c r="G74" s="279">
        <v>7</v>
      </c>
      <c r="H74" s="277">
        <v>0.01</v>
      </c>
      <c r="I74" s="275" t="s">
        <v>332</v>
      </c>
    </row>
    <row r="75" spans="2:9" ht="15.75" customHeight="1">
      <c r="C75" s="269" t="s">
        <v>333</v>
      </c>
      <c r="D75" s="270">
        <v>2</v>
      </c>
      <c r="E75" s="280">
        <v>8.7499999999999994E-2</v>
      </c>
      <c r="F75" s="272">
        <v>1</v>
      </c>
      <c r="G75" s="273">
        <v>9</v>
      </c>
      <c r="H75" s="274">
        <v>0</v>
      </c>
      <c r="I75" s="275" t="s">
        <v>334</v>
      </c>
    </row>
    <row r="76" spans="2:9" ht="15.75" customHeight="1">
      <c r="C76" s="267" t="s">
        <v>335</v>
      </c>
      <c r="D76" s="281">
        <v>6.5</v>
      </c>
    </row>
  </sheetData>
  <mergeCells count="1">
    <mergeCell ref="J16:L16"/>
  </mergeCells>
  <conditionalFormatting sqref="F57:I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5:I6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allowBlank="1" showInputMessage="1" showErrorMessage="1" promptTitle="Input transaction fee assumption" prompt="Includes legal, accounting and advisory related fees.  Input as a % of the offer value." sqref="D34" xr:uid="{00000000-0002-0000-0200-000000000000}">
      <formula1>0</formula1>
      <formula2>0</formula2>
    </dataValidation>
  </dataValidations>
  <pageMargins left="0.7" right="0.7" top="0.75" bottom="0.75" header="0.511811023622047" footer="0.511811023622047"/>
  <pageSetup paperSize="9" fitToHeight="5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313"/>
  <sheetViews>
    <sheetView showGridLines="0" topLeftCell="A228" zoomScale="107" zoomScaleNormal="107" workbookViewId="0">
      <selection activeCell="K256" sqref="K256"/>
    </sheetView>
  </sheetViews>
  <sheetFormatPr baseColWidth="10" defaultColWidth="11" defaultRowHeight="16"/>
  <cols>
    <col min="1" max="1" width="2.5" customWidth="1"/>
    <col min="2" max="2" width="2.1640625" customWidth="1"/>
    <col min="3" max="3" width="26.1640625" customWidth="1"/>
    <col min="4" max="4" width="15.33203125" customWidth="1"/>
    <col min="5" max="5" width="14.1640625" customWidth="1"/>
    <col min="6" max="6" width="14.33203125" customWidth="1"/>
    <col min="7" max="7" width="14.5" customWidth="1"/>
    <col min="8" max="8" width="12.5" customWidth="1"/>
    <col min="9" max="9" width="14.5" customWidth="1"/>
    <col min="11" max="11" width="15" customWidth="1"/>
    <col min="13" max="13" width="2.1640625" customWidth="1"/>
  </cols>
  <sheetData>
    <row r="1" spans="2:14" ht="16.5" customHeight="1"/>
    <row r="2" spans="2:14" ht="16.5" customHeight="1">
      <c r="B2" t="s">
        <v>0</v>
      </c>
      <c r="C2" s="2" t="str">
        <f>"Financial Statement Model for "&amp;D5</f>
        <v>Financial Statement Model for StandardAero</v>
      </c>
      <c r="D2" s="2"/>
      <c r="E2" s="3"/>
      <c r="F2" s="3"/>
      <c r="G2" s="3"/>
      <c r="H2" s="3"/>
      <c r="I2" s="3"/>
      <c r="J2" s="3"/>
      <c r="K2" s="3"/>
      <c r="L2" s="3"/>
    </row>
    <row r="3" spans="2:14" ht="15.75" customHeight="1">
      <c r="C3" s="4" t="s">
        <v>1</v>
      </c>
      <c r="D3" s="4"/>
      <c r="E3" s="5"/>
      <c r="F3" s="5"/>
      <c r="G3" s="5"/>
      <c r="H3" s="5"/>
      <c r="I3" s="5"/>
    </row>
    <row r="5" spans="2:14" ht="15.75" customHeight="1">
      <c r="C5" s="282" t="s">
        <v>3</v>
      </c>
      <c r="D5" s="283" t="s">
        <v>4</v>
      </c>
      <c r="F5" s="9"/>
      <c r="G5" s="10"/>
      <c r="M5" s="10"/>
    </row>
    <row r="6" spans="2:14" ht="15.75" customHeight="1">
      <c r="C6" s="282" t="s">
        <v>5</v>
      </c>
      <c r="D6" s="283" t="s">
        <v>6</v>
      </c>
      <c r="G6" s="11"/>
      <c r="M6" s="11"/>
    </row>
    <row r="7" spans="2:14" ht="15.75" customHeight="1">
      <c r="C7" t="s">
        <v>7</v>
      </c>
      <c r="D7" s="284">
        <v>25.59</v>
      </c>
      <c r="I7" s="10"/>
      <c r="M7" s="10"/>
    </row>
    <row r="8" spans="2:14" ht="15.75" customHeight="1">
      <c r="C8" t="s">
        <v>8</v>
      </c>
      <c r="D8" s="285">
        <v>46119</v>
      </c>
      <c r="I8" s="11"/>
      <c r="M8" s="10"/>
    </row>
    <row r="9" spans="2:14" ht="15.75" customHeight="1">
      <c r="C9" s="282" t="s">
        <v>9</v>
      </c>
      <c r="D9" s="286">
        <v>46022</v>
      </c>
      <c r="I9" s="10"/>
      <c r="M9" s="10"/>
    </row>
    <row r="10" spans="2:14" ht="15.75" customHeight="1">
      <c r="C10" t="s">
        <v>10</v>
      </c>
      <c r="D10" s="287">
        <v>334294</v>
      </c>
      <c r="I10" s="10"/>
      <c r="N10" t="s">
        <v>11</v>
      </c>
    </row>
    <row r="11" spans="2:14" ht="15.75" customHeight="1">
      <c r="C11" s="16" t="s">
        <v>12</v>
      </c>
      <c r="D11" s="17" t="s">
        <v>13</v>
      </c>
      <c r="E11" s="18"/>
      <c r="F11" s="17" t="s">
        <v>14</v>
      </c>
      <c r="G11" s="19"/>
      <c r="I11" s="10"/>
    </row>
    <row r="12" spans="2:14" ht="15.75" customHeight="1">
      <c r="C12" s="20">
        <v>1</v>
      </c>
      <c r="D12" s="21" t="str">
        <f ca="1">OFFSET(D12,$C$12,)</f>
        <v>[Case 1]</v>
      </c>
      <c r="E12" s="21"/>
      <c r="F12" s="21" t="str">
        <f ca="1">OFFSET(F12,$C$12,)</f>
        <v>Management Case</v>
      </c>
      <c r="G12" s="22"/>
    </row>
    <row r="13" spans="2:14" ht="15.75" customHeight="1">
      <c r="C13" s="23">
        <v>1</v>
      </c>
      <c r="D13" s="24" t="s">
        <v>15</v>
      </c>
      <c r="E13" s="19"/>
      <c r="F13" s="19" t="s">
        <v>16</v>
      </c>
      <c r="G13" s="19"/>
    </row>
    <row r="14" spans="2:14" ht="15.75" customHeight="1">
      <c r="C14" s="23">
        <v>2</v>
      </c>
      <c r="D14" s="24" t="s">
        <v>17</v>
      </c>
      <c r="E14" s="19"/>
      <c r="F14" s="19" t="s">
        <v>18</v>
      </c>
      <c r="G14" s="19"/>
    </row>
    <row r="15" spans="2:14" ht="15.75" customHeight="1">
      <c r="C15" s="23">
        <v>3</v>
      </c>
      <c r="D15" s="24" t="s">
        <v>19</v>
      </c>
      <c r="E15" s="19"/>
      <c r="F15" s="19" t="s">
        <v>20</v>
      </c>
      <c r="G15" s="19"/>
    </row>
    <row r="17" spans="2:16" ht="15.75" customHeight="1">
      <c r="B17" t="s">
        <v>0</v>
      </c>
      <c r="C17" s="57" t="s">
        <v>61</v>
      </c>
      <c r="D17" s="57"/>
      <c r="E17" s="6"/>
      <c r="F17" s="6"/>
      <c r="G17" s="6"/>
      <c r="I17" s="6"/>
      <c r="J17" s="6"/>
      <c r="K17" s="6"/>
      <c r="L17" s="6"/>
    </row>
    <row r="18" spans="2:16" ht="15.75" customHeight="1">
      <c r="C18" t="s">
        <v>22</v>
      </c>
      <c r="E18" s="58">
        <f>F18-1</f>
        <v>2023</v>
      </c>
      <c r="F18" s="58">
        <f>G18-1</f>
        <v>2024</v>
      </c>
      <c r="G18" s="58">
        <f>YEAR(D9)</f>
        <v>2025</v>
      </c>
      <c r="H18" s="29">
        <f>G18+1</f>
        <v>2026</v>
      </c>
      <c r="I18" s="59">
        <f>H18+1</f>
        <v>2027</v>
      </c>
      <c r="J18" s="59">
        <f>I18+1</f>
        <v>2028</v>
      </c>
      <c r="K18" s="59">
        <f>J18+1</f>
        <v>2029</v>
      </c>
      <c r="L18" s="59">
        <f>K18+1</f>
        <v>2030</v>
      </c>
    </row>
    <row r="19" spans="2:16" ht="15.75" customHeight="1">
      <c r="C19" s="30" t="s">
        <v>23</v>
      </c>
      <c r="D19" s="30"/>
      <c r="E19" s="31">
        <f>EOMONTH(F19,-12)</f>
        <v>45291</v>
      </c>
      <c r="F19" s="31">
        <f>EOMONTH(G19,-12)</f>
        <v>45657</v>
      </c>
      <c r="G19" s="31">
        <f>D9</f>
        <v>46022</v>
      </c>
      <c r="H19" s="31">
        <f>EOMONTH(G19,12)</f>
        <v>46387</v>
      </c>
      <c r="I19" s="31">
        <f>EOMONTH(H19,12)</f>
        <v>46752</v>
      </c>
      <c r="J19" s="31">
        <f>EOMONTH(I19,12)</f>
        <v>47118</v>
      </c>
      <c r="K19" s="31">
        <f>EOMONTH(J19,12)</f>
        <v>47483</v>
      </c>
      <c r="L19" s="31">
        <f>EOMONTH(K19,12)</f>
        <v>47848</v>
      </c>
      <c r="N19" s="57" t="s">
        <v>2</v>
      </c>
      <c r="O19" s="6"/>
      <c r="P19" s="6"/>
    </row>
    <row r="20" spans="2:16" ht="15.75" customHeight="1">
      <c r="C20" s="60"/>
      <c r="D20" s="60"/>
      <c r="E20" s="61"/>
      <c r="F20" s="62"/>
      <c r="G20" s="62"/>
      <c r="H20" s="63"/>
      <c r="I20" s="64"/>
      <c r="J20" s="64"/>
      <c r="K20" s="62"/>
      <c r="L20" s="62"/>
    </row>
    <row r="21" spans="2:16" ht="15.75" customHeight="1">
      <c r="C21" s="32" t="s">
        <v>62</v>
      </c>
      <c r="D21" s="32"/>
      <c r="E21" s="49">
        <v>4049868</v>
      </c>
      <c r="F21" s="49">
        <v>4644739</v>
      </c>
      <c r="G21" s="49">
        <v>5353952</v>
      </c>
      <c r="H21" s="91">
        <f ca="1">G21*(1+H55)</f>
        <v>6130275.04</v>
      </c>
      <c r="I21" s="91">
        <f ca="1">H21*(1+I55)</f>
        <v>6896559.4199999999</v>
      </c>
      <c r="J21" s="91">
        <f ca="1">I21*(1+J55)</f>
        <v>7689663.7533</v>
      </c>
      <c r="K21" s="91">
        <f ca="1">J21*(1+K55)</f>
        <v>8497078.4473965</v>
      </c>
      <c r="L21" s="91">
        <f ca="1">K21*(1+L55)</f>
        <v>9346786.2921361513</v>
      </c>
    </row>
    <row r="22" spans="2:16" ht="15.75" customHeight="1">
      <c r="C22" s="32" t="s">
        <v>63</v>
      </c>
      <c r="D22" s="32"/>
      <c r="E22" s="49">
        <v>513416</v>
      </c>
      <c r="F22" s="49">
        <v>592422</v>
      </c>
      <c r="G22" s="49">
        <v>708560</v>
      </c>
      <c r="H22" s="91">
        <f ca="1">G22*(1+H60)</f>
        <v>829015.2</v>
      </c>
      <c r="I22" s="91">
        <f ca="1">H22*(1+I60)</f>
        <v>961657.63199999987</v>
      </c>
      <c r="J22" s="91">
        <f ca="1">I22*(1+J60)</f>
        <v>1110714.5649599999</v>
      </c>
      <c r="K22" s="91">
        <f ca="1">J22*(1+K60)</f>
        <v>1282875.3225288</v>
      </c>
      <c r="L22" s="91">
        <f ca="1">K22*(1+L60)</f>
        <v>1475306.6209081199</v>
      </c>
    </row>
    <row r="23" spans="2:16" ht="15.75" customHeight="1">
      <c r="C23" s="25" t="s">
        <v>65</v>
      </c>
      <c r="D23" s="25"/>
      <c r="E23" s="49">
        <f t="shared" ref="E23:L23" si="0">E22+E21</f>
        <v>4563284</v>
      </c>
      <c r="F23" s="49">
        <f t="shared" si="0"/>
        <v>5237161</v>
      </c>
      <c r="G23" s="49">
        <f t="shared" si="0"/>
        <v>6062512</v>
      </c>
      <c r="H23" s="91">
        <f t="shared" ca="1" si="0"/>
        <v>6959290.2400000002</v>
      </c>
      <c r="I23" s="91">
        <f t="shared" ca="1" si="0"/>
        <v>7858217.0520000001</v>
      </c>
      <c r="J23" s="91">
        <f t="shared" ca="1" si="0"/>
        <v>8800378.3182599992</v>
      </c>
      <c r="K23" s="91">
        <f t="shared" ca="1" si="0"/>
        <v>9779953.7699253</v>
      </c>
      <c r="L23" s="91">
        <f t="shared" ca="1" si="0"/>
        <v>10822092.913044272</v>
      </c>
    </row>
    <row r="24" spans="2:16" ht="15.75" customHeight="1">
      <c r="C24" t="s">
        <v>66</v>
      </c>
      <c r="E24" s="49">
        <v>-3927965</v>
      </c>
      <c r="F24" s="49">
        <v>-4483019</v>
      </c>
      <c r="G24" s="49">
        <v>-5165060</v>
      </c>
      <c r="H24" s="91">
        <f ca="1">H25-H23</f>
        <v>-5901478.1235199999</v>
      </c>
      <c r="I24" s="91">
        <f ca="1">I25-I23</f>
        <v>-6640193.4089400005</v>
      </c>
      <c r="J24" s="91">
        <f ca="1">J25-J23</f>
        <v>-7392317.7873383993</v>
      </c>
      <c r="K24" s="91">
        <f ca="1">K25-K23</f>
        <v>-8185821.3054274758</v>
      </c>
      <c r="L24" s="91">
        <f ca="1">L25-L23</f>
        <v>-9036447.5823919661</v>
      </c>
    </row>
    <row r="25" spans="2:16" ht="15.75" customHeight="1">
      <c r="C25" s="72" t="s">
        <v>67</v>
      </c>
      <c r="D25" s="72"/>
      <c r="E25" s="98">
        <f>SUM(E23:E24)</f>
        <v>635319</v>
      </c>
      <c r="F25" s="98">
        <f>SUM(F23:F24)</f>
        <v>754142</v>
      </c>
      <c r="G25" s="98">
        <f>SUM(G23:G24)</f>
        <v>897452</v>
      </c>
      <c r="H25" s="102">
        <f ca="1">H23*H66</f>
        <v>1057812.1164800001</v>
      </c>
      <c r="I25" s="102">
        <f ca="1">I23*I66</f>
        <v>1218023.6430599999</v>
      </c>
      <c r="J25" s="102">
        <f ca="1">J23*J66</f>
        <v>1408060.5309215998</v>
      </c>
      <c r="K25" s="102">
        <f ca="1">K23*K66</f>
        <v>1594132.464497824</v>
      </c>
      <c r="L25" s="102">
        <f ca="1">L23*L66</f>
        <v>1785645.3306523049</v>
      </c>
    </row>
    <row r="26" spans="2:16" ht="15.75" customHeight="1">
      <c r="C26" t="s">
        <v>68</v>
      </c>
      <c r="E26" s="49">
        <v>-93681</v>
      </c>
      <c r="F26" s="49">
        <v>-95457</v>
      </c>
      <c r="G26" s="49">
        <v>-98681</v>
      </c>
      <c r="H26" s="49">
        <f>-H187*0.7516</f>
        <v>-91261.526800000007</v>
      </c>
      <c r="I26" s="49">
        <f>-I187*0.7516</f>
        <v>-83538.836800000005</v>
      </c>
      <c r="J26" s="49">
        <f>-J187*0.7516</f>
        <v>-82367.092400000009</v>
      </c>
      <c r="K26" s="49">
        <f>-K187*0.7516</f>
        <v>-79979.2592</v>
      </c>
      <c r="L26" s="49">
        <f>-L187*0.7516</f>
        <v>-79200.601600000009</v>
      </c>
      <c r="N26" t="s">
        <v>69</v>
      </c>
    </row>
    <row r="27" spans="2:16" ht="15.75" customHeight="1">
      <c r="C27" t="s">
        <v>70</v>
      </c>
      <c r="E27" s="49">
        <v>-202766</v>
      </c>
      <c r="F27" s="49">
        <v>-254092</v>
      </c>
      <c r="G27" s="49">
        <v>-247703</v>
      </c>
      <c r="H27" s="91">
        <f ca="1">-H23*H71</f>
        <v>-285330.89984000003</v>
      </c>
      <c r="I27" s="91">
        <f ca="1">-I23*I71</f>
        <v>-314328.68208</v>
      </c>
      <c r="J27" s="91">
        <f ca="1">-J23*J71</f>
        <v>-343214.75441213994</v>
      </c>
      <c r="K27" s="91">
        <f ca="1">-K23*K71</f>
        <v>-371638.2432571614</v>
      </c>
      <c r="L27" s="91">
        <f ca="1">-L23*L71</f>
        <v>-400417.43778263807</v>
      </c>
    </row>
    <row r="28" spans="2:16" ht="15.75" customHeight="1">
      <c r="C28" t="s">
        <v>71</v>
      </c>
      <c r="E28" s="49">
        <v>-1514</v>
      </c>
      <c r="F28" s="49">
        <v>-1374</v>
      </c>
      <c r="G28" s="49">
        <v>0</v>
      </c>
      <c r="H28" s="91">
        <f>G28</f>
        <v>0</v>
      </c>
      <c r="I28" s="91">
        <f>H28</f>
        <v>0</v>
      </c>
      <c r="J28" s="91">
        <f>I28</f>
        <v>0</v>
      </c>
      <c r="K28" s="91">
        <f>J28</f>
        <v>0</v>
      </c>
      <c r="L28" s="91">
        <f>K28</f>
        <v>0</v>
      </c>
    </row>
    <row r="29" spans="2:16" ht="15.75" customHeight="1">
      <c r="C29" s="72" t="s">
        <v>72</v>
      </c>
      <c r="D29" s="72"/>
      <c r="E29" s="98">
        <f t="shared" ref="E29:L29" si="1">SUM(E25:E28)</f>
        <v>337358</v>
      </c>
      <c r="F29" s="98">
        <f t="shared" si="1"/>
        <v>403219</v>
      </c>
      <c r="G29" s="98">
        <f t="shared" si="1"/>
        <v>551068</v>
      </c>
      <c r="H29" s="102">
        <f t="shared" ca="1" si="1"/>
        <v>681219.68984000012</v>
      </c>
      <c r="I29" s="102">
        <f t="shared" ca="1" si="1"/>
        <v>820156.12418000004</v>
      </c>
      <c r="J29" s="102">
        <f t="shared" ca="1" si="1"/>
        <v>982478.68410945986</v>
      </c>
      <c r="K29" s="102">
        <f t="shared" ca="1" si="1"/>
        <v>1142514.9620406625</v>
      </c>
      <c r="L29" s="102">
        <f t="shared" ca="1" si="1"/>
        <v>1306027.291269667</v>
      </c>
      <c r="N29" s="72"/>
    </row>
    <row r="30" spans="2:16" ht="15.75" customHeight="1">
      <c r="C30" t="s">
        <v>73</v>
      </c>
      <c r="E30" s="49">
        <v>0</v>
      </c>
      <c r="F30" s="49">
        <v>0</v>
      </c>
      <c r="G30" s="49">
        <v>0</v>
      </c>
      <c r="H30" s="91">
        <f ca="1">H233</f>
        <v>0</v>
      </c>
      <c r="I30" s="91">
        <f ca="1">I233</f>
        <v>0</v>
      </c>
      <c r="J30" s="91">
        <f ca="1">J233</f>
        <v>0</v>
      </c>
      <c r="K30" s="91">
        <f ca="1">K233</f>
        <v>0</v>
      </c>
      <c r="L30" s="91">
        <f ca="1">L233</f>
        <v>0</v>
      </c>
    </row>
    <row r="31" spans="2:16" ht="15.75" customHeight="1">
      <c r="C31" t="s">
        <v>74</v>
      </c>
      <c r="E31" s="49">
        <v>-309645</v>
      </c>
      <c r="F31" s="49">
        <v>-282507</v>
      </c>
      <c r="G31" s="49">
        <v>-174217</v>
      </c>
      <c r="H31" s="91">
        <f ca="1">H219</f>
        <v>-138781.62900000002</v>
      </c>
      <c r="I31" s="91">
        <f ca="1">I219</f>
        <v>-134154.65700000001</v>
      </c>
      <c r="J31" s="91">
        <f ca="1">J219</f>
        <v>-126377.685</v>
      </c>
      <c r="K31" s="91">
        <f ca="1">K219</f>
        <v>-117025.713</v>
      </c>
      <c r="L31" s="91">
        <f ca="1">L219</f>
        <v>-106098.74099999999</v>
      </c>
    </row>
    <row r="32" spans="2:16" ht="15.75" customHeight="1">
      <c r="C32" t="s">
        <v>76</v>
      </c>
      <c r="E32" s="49">
        <v>-19921</v>
      </c>
      <c r="F32" s="49">
        <v>-23700</v>
      </c>
      <c r="G32" s="49">
        <v>0</v>
      </c>
      <c r="H32" s="91">
        <f t="shared" ref="H32:L33" si="2">G32</f>
        <v>0</v>
      </c>
      <c r="I32" s="91">
        <f t="shared" si="2"/>
        <v>0</v>
      </c>
      <c r="J32" s="91">
        <f t="shared" si="2"/>
        <v>0</v>
      </c>
      <c r="K32" s="91">
        <f t="shared" si="2"/>
        <v>0</v>
      </c>
      <c r="L32" s="91">
        <f t="shared" si="2"/>
        <v>0</v>
      </c>
    </row>
    <row r="33" spans="3:15" ht="15.75" customHeight="1">
      <c r="C33" t="s">
        <v>77</v>
      </c>
      <c r="E33" s="49">
        <v>-6182</v>
      </c>
      <c r="F33" s="49">
        <v>-15255</v>
      </c>
      <c r="G33" s="49">
        <v>0</v>
      </c>
      <c r="H33" s="91">
        <f t="shared" si="2"/>
        <v>0</v>
      </c>
      <c r="I33" s="91">
        <f t="shared" si="2"/>
        <v>0</v>
      </c>
      <c r="J33" s="91">
        <f t="shared" si="2"/>
        <v>0</v>
      </c>
      <c r="K33" s="91">
        <f t="shared" si="2"/>
        <v>0</v>
      </c>
      <c r="L33" s="91">
        <f t="shared" si="2"/>
        <v>0</v>
      </c>
    </row>
    <row r="34" spans="3:15" ht="15.75" customHeight="1">
      <c r="C34" t="s">
        <v>78</v>
      </c>
      <c r="E34" s="49">
        <v>3509</v>
      </c>
      <c r="F34" s="49">
        <v>0</v>
      </c>
      <c r="G34" s="49">
        <v>0</v>
      </c>
      <c r="H34" s="91">
        <v>0</v>
      </c>
      <c r="I34" s="91">
        <v>0</v>
      </c>
      <c r="J34" s="91">
        <v>0</v>
      </c>
      <c r="K34" s="91">
        <v>0</v>
      </c>
      <c r="L34" s="91">
        <v>0</v>
      </c>
    </row>
    <row r="35" spans="3:15" ht="15.75" customHeight="1">
      <c r="C35" s="72" t="s">
        <v>79</v>
      </c>
      <c r="D35" s="72"/>
      <c r="E35" s="98">
        <f t="shared" ref="E35:L35" si="3">SUM(E29:E34)</f>
        <v>5119</v>
      </c>
      <c r="F35" s="98">
        <f t="shared" si="3"/>
        <v>81757</v>
      </c>
      <c r="G35" s="98">
        <f t="shared" si="3"/>
        <v>376851</v>
      </c>
      <c r="H35" s="102">
        <f t="shared" ca="1" si="3"/>
        <v>542438.06084000017</v>
      </c>
      <c r="I35" s="102">
        <f t="shared" ca="1" si="3"/>
        <v>686001.46718000004</v>
      </c>
      <c r="J35" s="102">
        <f t="shared" ca="1" si="3"/>
        <v>856100.99910945981</v>
      </c>
      <c r="K35" s="102">
        <f t="shared" ca="1" si="3"/>
        <v>1025489.2490406625</v>
      </c>
      <c r="L35" s="102">
        <f t="shared" ca="1" si="3"/>
        <v>1199928.5502696671</v>
      </c>
      <c r="N35" s="72"/>
      <c r="O35" s="72"/>
    </row>
    <row r="36" spans="3:15" ht="15.75" customHeight="1">
      <c r="C36" t="s">
        <v>80</v>
      </c>
      <c r="E36" s="49">
        <v>-40180</v>
      </c>
      <c r="F36" s="49">
        <v>-70783</v>
      </c>
      <c r="G36" s="49">
        <v>-99435</v>
      </c>
      <c r="H36" s="91">
        <f ca="1">-H35*H76</f>
        <v>-135609.51521000004</v>
      </c>
      <c r="I36" s="91">
        <f ca="1">-I35*I76</f>
        <v>-171500.36679500001</v>
      </c>
      <c r="J36" s="91">
        <f ca="1">-J35*J76</f>
        <v>-214025.24977736495</v>
      </c>
      <c r="K36" s="91">
        <f ca="1">-K35*K76</f>
        <v>-256372.31226016564</v>
      </c>
      <c r="L36" s="91">
        <f ca="1">-L35*L76</f>
        <v>-299982.13756741676</v>
      </c>
    </row>
    <row r="37" spans="3:15" ht="15.75" customHeight="1">
      <c r="C37" s="72" t="s">
        <v>81</v>
      </c>
      <c r="D37" s="72"/>
      <c r="E37" s="98">
        <f t="shared" ref="E37:L37" si="4">SUM(E35:E36)</f>
        <v>-35061</v>
      </c>
      <c r="F37" s="98">
        <f t="shared" si="4"/>
        <v>10974</v>
      </c>
      <c r="G37" s="98">
        <f t="shared" si="4"/>
        <v>277416</v>
      </c>
      <c r="H37" s="102">
        <f t="shared" ca="1" si="4"/>
        <v>406828.54563000012</v>
      </c>
      <c r="I37" s="102">
        <f t="shared" ca="1" si="4"/>
        <v>514501.100385</v>
      </c>
      <c r="J37" s="102">
        <f t="shared" ca="1" si="4"/>
        <v>642075.7493320948</v>
      </c>
      <c r="K37" s="102">
        <f t="shared" ca="1" si="4"/>
        <v>769116.93678049697</v>
      </c>
      <c r="L37" s="102">
        <f t="shared" ca="1" si="4"/>
        <v>899946.41270225029</v>
      </c>
      <c r="N37" s="72"/>
    </row>
    <row r="38" spans="3:15" ht="15.75" customHeight="1">
      <c r="C38" s="44"/>
      <c r="D38" s="44"/>
      <c r="E38" s="91"/>
      <c r="F38" s="91"/>
      <c r="G38" s="91"/>
      <c r="H38" s="91"/>
      <c r="I38" s="91"/>
      <c r="J38" s="91"/>
      <c r="K38" s="91"/>
      <c r="L38" s="91"/>
    </row>
    <row r="39" spans="3:15" ht="15.75" customHeight="1">
      <c r="C39" s="95" t="s">
        <v>82</v>
      </c>
      <c r="D39" s="95"/>
      <c r="E39" s="49">
        <v>197104</v>
      </c>
      <c r="F39" s="49">
        <v>188164</v>
      </c>
      <c r="G39" s="49">
        <v>193664</v>
      </c>
      <c r="H39" s="91">
        <f ca="1">H189</f>
        <v>193053.32600611763</v>
      </c>
      <c r="I39" s="91">
        <f ca="1">I189</f>
        <v>192030.7667549029</v>
      </c>
      <c r="J39" s="91">
        <f ca="1">J189</f>
        <v>200169.20950052125</v>
      </c>
      <c r="K39" s="91">
        <f ca="1">K189</f>
        <v>207074.74759428744</v>
      </c>
      <c r="L39" s="91">
        <f ca="1">L189</f>
        <v>216765.23894484044</v>
      </c>
    </row>
    <row r="40" spans="3:15" ht="15.75" customHeight="1">
      <c r="C40" s="97" t="s">
        <v>83</v>
      </c>
      <c r="D40" s="97"/>
      <c r="E40" s="98">
        <f t="shared" ref="E40:L40" si="5">E29+E39</f>
        <v>534462</v>
      </c>
      <c r="F40" s="98">
        <f t="shared" si="5"/>
        <v>591383</v>
      </c>
      <c r="G40" s="98">
        <f t="shared" si="5"/>
        <v>744732</v>
      </c>
      <c r="H40" s="102">
        <f t="shared" ca="1" si="5"/>
        <v>874273.01584611775</v>
      </c>
      <c r="I40" s="102">
        <f t="shared" ca="1" si="5"/>
        <v>1012186.8909349029</v>
      </c>
      <c r="J40" s="102">
        <f t="shared" ca="1" si="5"/>
        <v>1182647.8936099811</v>
      </c>
      <c r="K40" s="102">
        <f t="shared" ca="1" si="5"/>
        <v>1349589.7096349499</v>
      </c>
      <c r="L40" s="102">
        <f t="shared" ca="1" si="5"/>
        <v>1522792.5302145074</v>
      </c>
      <c r="N40" s="72"/>
    </row>
    <row r="41" spans="3:15" ht="15.75" customHeight="1">
      <c r="C41" s="95" t="s">
        <v>85</v>
      </c>
      <c r="D41" s="95"/>
      <c r="E41" s="49" t="s">
        <v>86</v>
      </c>
      <c r="F41" s="49">
        <v>17376</v>
      </c>
      <c r="G41" s="49">
        <v>13237</v>
      </c>
      <c r="H41" s="49">
        <v>13500</v>
      </c>
      <c r="I41" s="49">
        <v>14000</v>
      </c>
      <c r="J41" s="49">
        <v>14500</v>
      </c>
      <c r="K41" s="49">
        <v>15000</v>
      </c>
      <c r="L41" s="49">
        <v>15500</v>
      </c>
    </row>
    <row r="42" spans="3:15" ht="15.75" customHeight="1">
      <c r="C42" s="95" t="s">
        <v>87</v>
      </c>
      <c r="D42" s="95"/>
      <c r="E42" s="49" t="s">
        <v>86</v>
      </c>
      <c r="F42" s="49">
        <v>43239</v>
      </c>
      <c r="G42" s="49">
        <v>26028</v>
      </c>
      <c r="H42" s="49" t="s">
        <v>86</v>
      </c>
      <c r="I42" s="49" t="s">
        <v>86</v>
      </c>
      <c r="J42" s="49" t="s">
        <v>86</v>
      </c>
      <c r="K42" s="49" t="s">
        <v>86</v>
      </c>
      <c r="L42" s="49" t="s">
        <v>86</v>
      </c>
    </row>
    <row r="43" spans="3:15" ht="15.75" customHeight="1">
      <c r="C43" s="95" t="s">
        <v>88</v>
      </c>
      <c r="D43" s="95"/>
      <c r="E43" s="49" t="s">
        <v>86</v>
      </c>
      <c r="F43" s="49">
        <v>26909</v>
      </c>
      <c r="G43" s="49">
        <v>0</v>
      </c>
      <c r="H43" s="49" t="s">
        <v>86</v>
      </c>
      <c r="I43" s="49" t="s">
        <v>86</v>
      </c>
      <c r="J43" s="49" t="s">
        <v>86</v>
      </c>
      <c r="K43" s="49" t="s">
        <v>86</v>
      </c>
      <c r="L43" s="49" t="s">
        <v>86</v>
      </c>
    </row>
    <row r="44" spans="3:15" ht="15.75" customHeight="1">
      <c r="C44" s="95" t="s">
        <v>89</v>
      </c>
      <c r="D44" s="95"/>
      <c r="E44" s="49" t="s">
        <v>86</v>
      </c>
      <c r="F44" s="49">
        <v>2782</v>
      </c>
      <c r="G44" s="49">
        <v>5601</v>
      </c>
      <c r="H44" s="49" t="s">
        <v>86</v>
      </c>
      <c r="I44" s="49" t="s">
        <v>86</v>
      </c>
      <c r="J44" s="49" t="s">
        <v>86</v>
      </c>
      <c r="K44" s="49" t="s">
        <v>86</v>
      </c>
      <c r="L44" s="49" t="s">
        <v>86</v>
      </c>
    </row>
    <row r="45" spans="3:15" ht="15.75" customHeight="1">
      <c r="C45" s="95" t="s">
        <v>90</v>
      </c>
      <c r="D45" s="95"/>
      <c r="E45" s="49" t="s">
        <v>86</v>
      </c>
      <c r="F45" s="49">
        <v>1374</v>
      </c>
      <c r="G45" s="49">
        <v>0</v>
      </c>
      <c r="H45" s="49" t="s">
        <v>86</v>
      </c>
      <c r="I45" s="49" t="s">
        <v>86</v>
      </c>
      <c r="J45" s="49" t="s">
        <v>86</v>
      </c>
      <c r="K45" s="49" t="s">
        <v>86</v>
      </c>
      <c r="L45" s="49" t="s">
        <v>86</v>
      </c>
    </row>
    <row r="46" spans="3:15" ht="15.75" customHeight="1">
      <c r="C46" t="s">
        <v>91</v>
      </c>
      <c r="E46" s="49" t="s">
        <v>86</v>
      </c>
      <c r="F46" s="49">
        <v>0</v>
      </c>
      <c r="G46" s="49">
        <v>-3000</v>
      </c>
      <c r="H46" s="49" t="s">
        <v>86</v>
      </c>
      <c r="I46" s="49" t="s">
        <v>86</v>
      </c>
      <c r="J46" s="49" t="s">
        <v>86</v>
      </c>
      <c r="K46" s="49" t="s">
        <v>86</v>
      </c>
      <c r="L46" s="49" t="s">
        <v>86</v>
      </c>
    </row>
    <row r="47" spans="3:15" ht="15.75" customHeight="1">
      <c r="C47" t="s">
        <v>92</v>
      </c>
      <c r="E47" s="49" t="s">
        <v>86</v>
      </c>
      <c r="F47" s="49">
        <v>0</v>
      </c>
      <c r="G47" s="49">
        <v>2764</v>
      </c>
      <c r="H47" s="49" t="s">
        <v>86</v>
      </c>
      <c r="I47" s="49" t="s">
        <v>86</v>
      </c>
      <c r="J47" s="49" t="s">
        <v>86</v>
      </c>
      <c r="K47" s="49" t="s">
        <v>86</v>
      </c>
      <c r="L47" s="49" t="s">
        <v>86</v>
      </c>
    </row>
    <row r="48" spans="3:15" ht="15.75" customHeight="1">
      <c r="C48" t="s">
        <v>93</v>
      </c>
      <c r="E48" s="49" t="s">
        <v>86</v>
      </c>
      <c r="F48" s="49">
        <v>0</v>
      </c>
      <c r="G48" s="49">
        <v>4990</v>
      </c>
      <c r="H48" s="49" t="s">
        <v>86</v>
      </c>
      <c r="I48" s="49" t="s">
        <v>86</v>
      </c>
      <c r="J48" s="49" t="s">
        <v>86</v>
      </c>
      <c r="K48" s="49" t="s">
        <v>86</v>
      </c>
      <c r="L48" s="49" t="s">
        <v>86</v>
      </c>
    </row>
    <row r="49" spans="3:14" ht="15.75" customHeight="1">
      <c r="C49" t="s">
        <v>94</v>
      </c>
      <c r="E49" s="49" t="s">
        <v>86</v>
      </c>
      <c r="F49" s="49">
        <v>7470</v>
      </c>
      <c r="G49" s="49">
        <v>13820</v>
      </c>
      <c r="H49" s="49" t="s">
        <v>86</v>
      </c>
      <c r="I49" s="49" t="s">
        <v>86</v>
      </c>
      <c r="J49" s="49" t="s">
        <v>86</v>
      </c>
      <c r="K49" s="49" t="s">
        <v>86</v>
      </c>
      <c r="L49" s="49" t="s">
        <v>86</v>
      </c>
    </row>
    <row r="50" spans="3:14" ht="15.75" customHeight="1">
      <c r="C50" s="74" t="s">
        <v>95</v>
      </c>
      <c r="D50" s="74"/>
      <c r="E50" s="288">
        <v>561100</v>
      </c>
      <c r="F50" s="288">
        <f>SUM(F40:F49)</f>
        <v>690533</v>
      </c>
      <c r="G50" s="288">
        <f>SUM(G40:G49)</f>
        <v>808172</v>
      </c>
      <c r="H50" s="288">
        <f ca="1">H23*H81</f>
        <v>904707.73120000004</v>
      </c>
      <c r="I50" s="288">
        <f ca="1">I23*I81</f>
        <v>1021568.2167600001</v>
      </c>
      <c r="J50" s="288">
        <f ca="1">J23*J81</f>
        <v>1144049.1813737999</v>
      </c>
      <c r="K50" s="288">
        <f ca="1">K23*K81</f>
        <v>1271393.9900902892</v>
      </c>
      <c r="L50" s="288">
        <f ca="1">L23*L81</f>
        <v>1406872.0786957555</v>
      </c>
    </row>
    <row r="51" spans="3:14" ht="15.75" customHeight="1"/>
    <row r="52" spans="3:14" ht="15.75" customHeight="1">
      <c r="C52" s="87" t="s">
        <v>21</v>
      </c>
      <c r="D52" s="26"/>
    </row>
    <row r="53" spans="3:14" ht="15.75" customHeight="1">
      <c r="C53" s="32" t="s">
        <v>24</v>
      </c>
      <c r="D53" s="32"/>
      <c r="E53" s="33"/>
      <c r="F53" s="33">
        <f t="shared" ref="F53:L53" si="6">(F23-E23)/E23</f>
        <v>0.14767369289310067</v>
      </c>
      <c r="G53" s="33">
        <f t="shared" si="6"/>
        <v>0.157595116896349</v>
      </c>
      <c r="H53" s="33">
        <f t="shared" ca="1" si="6"/>
        <v>0.14792189112367946</v>
      </c>
      <c r="I53" s="33">
        <f t="shared" ca="1" si="6"/>
        <v>0.12916932345100754</v>
      </c>
      <c r="J53" s="33">
        <f t="shared" ca="1" si="6"/>
        <v>0.11989504235190461</v>
      </c>
      <c r="K53" s="33">
        <f t="shared" ca="1" si="6"/>
        <v>0.1113106069125198</v>
      </c>
      <c r="L53" s="33">
        <f t="shared" ca="1" si="6"/>
        <v>0.10655869829606893</v>
      </c>
      <c r="N53" t="s">
        <v>25</v>
      </c>
    </row>
    <row r="54" spans="3:14" ht="15.75" customHeight="1">
      <c r="C54" s="34"/>
      <c r="D54" s="35"/>
      <c r="E54" s="36"/>
      <c r="F54" s="36"/>
      <c r="G54" s="36"/>
      <c r="H54" s="36"/>
      <c r="I54" s="36"/>
      <c r="J54" s="36"/>
      <c r="K54" s="36"/>
      <c r="L54" s="36"/>
    </row>
    <row r="55" spans="3:14" ht="15.75" customHeight="1">
      <c r="C55" s="37" t="s">
        <v>26</v>
      </c>
      <c r="D55" s="38"/>
      <c r="E55" s="39"/>
      <c r="F55" s="39">
        <f t="shared" ref="F55:L55" ca="1" si="7">OFFSET(F55,$C$12,)</f>
        <v>0.14688651580742879</v>
      </c>
      <c r="G55" s="39">
        <f t="shared" ca="1" si="7"/>
        <v>0.15269167976930459</v>
      </c>
      <c r="H55" s="39">
        <f t="shared" ca="1" si="7"/>
        <v>0.14499999999999999</v>
      </c>
      <c r="I55" s="39">
        <f t="shared" ca="1" si="7"/>
        <v>0.125</v>
      </c>
      <c r="J55" s="39">
        <f t="shared" ca="1" si="7"/>
        <v>0.115</v>
      </c>
      <c r="K55" s="39">
        <f t="shared" ca="1" si="7"/>
        <v>0.105</v>
      </c>
      <c r="L55" s="39">
        <f t="shared" ca="1" si="7"/>
        <v>0.1</v>
      </c>
    </row>
    <row r="56" spans="3:14" ht="15.75" customHeight="1">
      <c r="C56" s="34">
        <f>$C$13</f>
        <v>1</v>
      </c>
      <c r="D56" s="35" t="str">
        <f>$D$13</f>
        <v>[Case 1]</v>
      </c>
      <c r="E56" s="36"/>
      <c r="F56" s="33">
        <f>(F21-E21)/E21</f>
        <v>0.14688651580742879</v>
      </c>
      <c r="G56" s="33">
        <f>(G21-F21)/F21</f>
        <v>0.15269167976930459</v>
      </c>
      <c r="H56" s="40">
        <v>0.14499999999999999</v>
      </c>
      <c r="I56" s="40">
        <v>0.125</v>
      </c>
      <c r="J56" s="40">
        <v>0.115</v>
      </c>
      <c r="K56" s="40">
        <v>0.105</v>
      </c>
      <c r="L56" s="40">
        <v>0.1</v>
      </c>
    </row>
    <row r="57" spans="3:14" ht="15.75" customHeight="1">
      <c r="C57" s="34">
        <f>$C$14</f>
        <v>2</v>
      </c>
      <c r="D57" s="35" t="str">
        <f>$D$14</f>
        <v>[Case 2]</v>
      </c>
      <c r="E57" s="36"/>
      <c r="F57" s="33"/>
      <c r="G57" s="33"/>
      <c r="H57" s="40">
        <v>0.12</v>
      </c>
      <c r="I57" s="40">
        <v>0.1</v>
      </c>
      <c r="J57" s="40">
        <v>0.09</v>
      </c>
      <c r="K57" s="40">
        <v>0.08</v>
      </c>
      <c r="L57" s="40">
        <v>7.0000000000000007E-2</v>
      </c>
      <c r="N57" t="s">
        <v>27</v>
      </c>
    </row>
    <row r="58" spans="3:14" ht="15.75" customHeight="1">
      <c r="C58" s="34">
        <f>$C$15</f>
        <v>3</v>
      </c>
      <c r="D58" s="35" t="str">
        <f>$D$15</f>
        <v>[Case 3]</v>
      </c>
      <c r="E58" s="36"/>
      <c r="F58" s="33"/>
      <c r="G58" s="33"/>
      <c r="H58" s="40"/>
      <c r="I58" s="40"/>
      <c r="J58" s="40"/>
      <c r="K58" s="40"/>
      <c r="L58" s="40"/>
    </row>
    <row r="59" spans="3:14" ht="15.75" customHeight="1">
      <c r="C59" s="34"/>
      <c r="D59" s="35"/>
      <c r="E59" s="36"/>
      <c r="F59" s="36"/>
      <c r="G59" s="36"/>
      <c r="H59" s="36"/>
      <c r="I59" s="36"/>
      <c r="J59" s="36"/>
      <c r="K59" s="36"/>
      <c r="L59" s="36"/>
    </row>
    <row r="60" spans="3:14" ht="15.75" customHeight="1">
      <c r="C60" s="37" t="s">
        <v>29</v>
      </c>
      <c r="D60" s="38"/>
      <c r="E60" s="39"/>
      <c r="F60" s="39">
        <f t="shared" ref="F60:L60" ca="1" si="8">OFFSET(F60,$C$12,)</f>
        <v>0.15388301104757157</v>
      </c>
      <c r="G60" s="39">
        <f t="shared" ca="1" si="8"/>
        <v>0.19603930981631337</v>
      </c>
      <c r="H60" s="39">
        <f t="shared" ca="1" si="8"/>
        <v>0.17</v>
      </c>
      <c r="I60" s="39">
        <f t="shared" ca="1" si="8"/>
        <v>0.16</v>
      </c>
      <c r="J60" s="39">
        <f t="shared" ca="1" si="8"/>
        <v>0.155</v>
      </c>
      <c r="K60" s="39">
        <f t="shared" ca="1" si="8"/>
        <v>0.155</v>
      </c>
      <c r="L60" s="39">
        <f t="shared" ca="1" si="8"/>
        <v>0.15</v>
      </c>
    </row>
    <row r="61" spans="3:14" ht="15.75" customHeight="1">
      <c r="C61" s="34">
        <f>$C$13</f>
        <v>1</v>
      </c>
      <c r="D61" s="35" t="str">
        <f>$D$13</f>
        <v>[Case 1]</v>
      </c>
      <c r="E61" s="36"/>
      <c r="F61" s="33">
        <f>(F22-E22)/E22</f>
        <v>0.15388301104757157</v>
      </c>
      <c r="G61" s="33">
        <f>(G22-F22)/F22</f>
        <v>0.19603930981631337</v>
      </c>
      <c r="H61" s="40">
        <v>0.17</v>
      </c>
      <c r="I61" s="40">
        <v>0.16</v>
      </c>
      <c r="J61" s="40">
        <v>0.155</v>
      </c>
      <c r="K61" s="40">
        <v>0.155</v>
      </c>
      <c r="L61" s="40">
        <v>0.15</v>
      </c>
    </row>
    <row r="62" spans="3:14" ht="15.75" customHeight="1">
      <c r="C62" s="34">
        <f>$C$14</f>
        <v>2</v>
      </c>
      <c r="D62" s="35" t="str">
        <f>$D$14</f>
        <v>[Case 2]</v>
      </c>
      <c r="E62" s="36"/>
      <c r="F62" s="33"/>
      <c r="G62" s="33"/>
      <c r="H62" s="40">
        <v>0.14000000000000001</v>
      </c>
      <c r="I62" s="40">
        <v>0.12</v>
      </c>
      <c r="J62" s="40">
        <v>0.11</v>
      </c>
      <c r="K62" s="40">
        <v>0.1</v>
      </c>
      <c r="L62" s="40">
        <v>0.09</v>
      </c>
      <c r="N62" t="s">
        <v>30</v>
      </c>
    </row>
    <row r="63" spans="3:14" ht="15.75" customHeight="1">
      <c r="C63" s="34">
        <f>$C$15</f>
        <v>3</v>
      </c>
      <c r="D63" s="35" t="str">
        <f>$D$15</f>
        <v>[Case 3]</v>
      </c>
      <c r="E63" s="36"/>
      <c r="F63" s="33"/>
      <c r="G63" s="33"/>
      <c r="H63" s="40"/>
      <c r="I63" s="40"/>
      <c r="J63" s="40"/>
      <c r="K63" s="40"/>
      <c r="L63" s="40"/>
    </row>
    <row r="64" spans="3:14" ht="15.75" customHeight="1">
      <c r="C64" s="34"/>
      <c r="D64" s="35"/>
      <c r="E64" s="36"/>
      <c r="F64" s="33"/>
      <c r="G64" s="33"/>
      <c r="H64" s="40"/>
      <c r="I64" s="40"/>
      <c r="J64" s="40"/>
      <c r="K64" s="40"/>
      <c r="L64" s="40"/>
    </row>
    <row r="65" spans="3:16" ht="15.75" customHeight="1">
      <c r="C65" s="37" t="s">
        <v>32</v>
      </c>
      <c r="D65" s="38"/>
      <c r="E65" s="39">
        <f t="shared" ref="E65:L65" ca="1" si="9">OFFSET(E65,$C$12,)</f>
        <v>0.13922407634501818</v>
      </c>
      <c r="F65" s="39">
        <f t="shared" ca="1" si="9"/>
        <v>0.14399824637814265</v>
      </c>
      <c r="G65" s="39">
        <f t="shared" ca="1" si="9"/>
        <v>0.14803302657380307</v>
      </c>
      <c r="H65" s="39">
        <f t="shared" ca="1" si="9"/>
        <v>0.152</v>
      </c>
      <c r="I65" s="39">
        <f t="shared" ca="1" si="9"/>
        <v>0.155</v>
      </c>
      <c r="J65" s="39">
        <f t="shared" ca="1" si="9"/>
        <v>0.16</v>
      </c>
      <c r="K65" s="39">
        <f t="shared" ca="1" si="9"/>
        <v>0.16300000000000001</v>
      </c>
      <c r="L65" s="39">
        <f t="shared" ca="1" si="9"/>
        <v>0.16500000000000001</v>
      </c>
    </row>
    <row r="66" spans="3:16" ht="15.75" customHeight="1">
      <c r="C66" s="34">
        <f>$C$13</f>
        <v>1</v>
      </c>
      <c r="D66" s="35" t="str">
        <f>$D$13</f>
        <v>[Case 1]</v>
      </c>
      <c r="E66" s="42">
        <f>E25/E23</f>
        <v>0.13922407634501818</v>
      </c>
      <c r="F66" s="42">
        <f>F25/F23</f>
        <v>0.14399824637814265</v>
      </c>
      <c r="G66" s="42">
        <f>G25/G23</f>
        <v>0.14803302657380307</v>
      </c>
      <c r="H66" s="43">
        <v>0.152</v>
      </c>
      <c r="I66" s="43">
        <v>0.155</v>
      </c>
      <c r="J66" s="43">
        <v>0.16</v>
      </c>
      <c r="K66" s="43">
        <v>0.16300000000000001</v>
      </c>
      <c r="L66" s="43">
        <v>0.16500000000000001</v>
      </c>
      <c r="N66" t="s">
        <v>33</v>
      </c>
    </row>
    <row r="67" spans="3:16" ht="15.75" customHeight="1">
      <c r="C67" s="34">
        <f>$C$14</f>
        <v>2</v>
      </c>
      <c r="D67" s="35" t="str">
        <f>$D$14</f>
        <v>[Case 2]</v>
      </c>
      <c r="E67" s="36"/>
      <c r="F67" s="33"/>
      <c r="G67" s="33"/>
      <c r="H67" s="40">
        <v>0.14799999999999999</v>
      </c>
      <c r="I67" s="40">
        <v>0.15</v>
      </c>
      <c r="J67" s="40">
        <v>0.152</v>
      </c>
      <c r="K67" s="40">
        <v>0.153</v>
      </c>
      <c r="L67" s="40">
        <v>0.154</v>
      </c>
      <c r="N67" t="s">
        <v>34</v>
      </c>
    </row>
    <row r="68" spans="3:16" ht="15.75" customHeight="1">
      <c r="C68" s="34">
        <f>$C$15</f>
        <v>3</v>
      </c>
      <c r="D68" s="35" t="str">
        <f>$D$15</f>
        <v>[Case 3]</v>
      </c>
      <c r="E68" s="36"/>
      <c r="F68" s="33"/>
      <c r="G68" s="33"/>
      <c r="H68" s="40"/>
      <c r="I68" s="40"/>
      <c r="J68" s="40"/>
      <c r="K68" s="40"/>
      <c r="L68" s="40"/>
      <c r="P68" s="43"/>
    </row>
    <row r="69" spans="3:16" ht="15.75" customHeight="1">
      <c r="C69" s="34"/>
      <c r="D69" s="35"/>
      <c r="E69" s="36"/>
      <c r="F69" s="33"/>
      <c r="G69" s="33"/>
      <c r="H69" s="40"/>
      <c r="I69" s="40"/>
      <c r="J69" s="40"/>
      <c r="K69" s="40"/>
      <c r="L69" s="40"/>
      <c r="P69" s="43"/>
    </row>
    <row r="70" spans="3:16" ht="15.75" customHeight="1">
      <c r="C70" s="37" t="s">
        <v>36</v>
      </c>
      <c r="D70" s="38"/>
      <c r="E70" s="39">
        <f t="shared" ref="E70:L70" ca="1" si="10">OFFSET(E70,$C$12,)</f>
        <v>4.4434227630802729E-2</v>
      </c>
      <c r="F70" s="39">
        <f t="shared" ca="1" si="10"/>
        <v>4.8517125977223158E-2</v>
      </c>
      <c r="G70" s="39">
        <f t="shared" ca="1" si="10"/>
        <v>4.0858145930267847E-2</v>
      </c>
      <c r="H70" s="39">
        <f t="shared" ca="1" si="10"/>
        <v>4.1000000000000002E-2</v>
      </c>
      <c r="I70" s="39">
        <f t="shared" ca="1" si="10"/>
        <v>0.04</v>
      </c>
      <c r="J70" s="39">
        <f t="shared" ca="1" si="10"/>
        <v>3.9E-2</v>
      </c>
      <c r="K70" s="39">
        <f t="shared" ca="1" si="10"/>
        <v>3.7999999999999999E-2</v>
      </c>
      <c r="L70" s="39">
        <f t="shared" ca="1" si="10"/>
        <v>3.6999999999999998E-2</v>
      </c>
      <c r="P70" s="43"/>
    </row>
    <row r="71" spans="3:16" ht="15.75" customHeight="1">
      <c r="C71" s="34">
        <f>$C$13</f>
        <v>1</v>
      </c>
      <c r="D71" s="35" t="str">
        <f>$D$13</f>
        <v>[Case 1]</v>
      </c>
      <c r="E71" s="42">
        <f>-E27/E23</f>
        <v>4.4434227630802729E-2</v>
      </c>
      <c r="F71" s="42">
        <f>-F27/F23</f>
        <v>4.8517125977223158E-2</v>
      </c>
      <c r="G71" s="42">
        <f>-G27/G23</f>
        <v>4.0858145930267847E-2</v>
      </c>
      <c r="H71" s="43">
        <v>4.1000000000000002E-2</v>
      </c>
      <c r="I71" s="43">
        <v>0.04</v>
      </c>
      <c r="J71" s="43">
        <v>3.9E-2</v>
      </c>
      <c r="K71" s="43">
        <v>3.7999999999999999E-2</v>
      </c>
      <c r="L71" s="43">
        <v>3.6999999999999998E-2</v>
      </c>
      <c r="N71" t="s">
        <v>37</v>
      </c>
      <c r="P71" s="43"/>
    </row>
    <row r="72" spans="3:16" ht="15.75" customHeight="1">
      <c r="C72" s="34">
        <f>$C$14</f>
        <v>2</v>
      </c>
      <c r="D72" s="35" t="str">
        <f>$D$14</f>
        <v>[Case 2]</v>
      </c>
      <c r="E72" s="36"/>
      <c r="F72" s="33"/>
      <c r="G72" s="33"/>
      <c r="H72" s="40">
        <v>4.1000000000000002E-2</v>
      </c>
      <c r="I72" s="40">
        <v>0.04</v>
      </c>
      <c r="J72" s="40">
        <v>0.04</v>
      </c>
      <c r="K72" s="40">
        <v>3.9E-2</v>
      </c>
      <c r="L72" s="40">
        <v>3.9E-2</v>
      </c>
      <c r="N72" t="s">
        <v>38</v>
      </c>
      <c r="P72" s="43"/>
    </row>
    <row r="73" spans="3:16" ht="15.75" customHeight="1">
      <c r="C73" s="34">
        <f>$C$15</f>
        <v>3</v>
      </c>
      <c r="D73" s="35" t="str">
        <f>$D$15</f>
        <v>[Case 3]</v>
      </c>
      <c r="E73" s="36"/>
      <c r="F73" s="33"/>
      <c r="G73" s="33"/>
      <c r="H73" s="40"/>
      <c r="I73" s="40"/>
      <c r="J73" s="40"/>
      <c r="K73" s="40"/>
      <c r="L73" s="40"/>
      <c r="P73" s="43"/>
    </row>
    <row r="74" spans="3:16" ht="15.75" customHeight="1">
      <c r="C74" s="44"/>
      <c r="D74" s="44"/>
      <c r="P74" s="43"/>
    </row>
    <row r="75" spans="3:16" ht="15.75" customHeight="1">
      <c r="C75" s="37" t="s">
        <v>40</v>
      </c>
      <c r="D75" s="38"/>
      <c r="E75" s="39">
        <f t="shared" ref="E75:L75" ca="1" si="11">OFFSET(E75,$C$12,)</f>
        <v>7.8491892947841375</v>
      </c>
      <c r="F75" s="39">
        <f t="shared" ca="1" si="11"/>
        <v>0.86577296133664394</v>
      </c>
      <c r="G75" s="39">
        <f t="shared" ca="1" si="11"/>
        <v>0.26385759889186972</v>
      </c>
      <c r="H75" s="39">
        <f t="shared" ca="1" si="11"/>
        <v>0.25</v>
      </c>
      <c r="I75" s="39">
        <f t="shared" ca="1" si="11"/>
        <v>0.25</v>
      </c>
      <c r="J75" s="39">
        <f t="shared" ca="1" si="11"/>
        <v>0.25</v>
      </c>
      <c r="K75" s="39">
        <f t="shared" ca="1" si="11"/>
        <v>0.25</v>
      </c>
      <c r="L75" s="39">
        <f t="shared" ca="1" si="11"/>
        <v>0.25</v>
      </c>
      <c r="P75" s="43"/>
    </row>
    <row r="76" spans="3:16" ht="15.75" customHeight="1">
      <c r="C76" s="34">
        <f>$C$13</f>
        <v>1</v>
      </c>
      <c r="D76" s="35" t="str">
        <f>$D$13</f>
        <v>[Case 1]</v>
      </c>
      <c r="E76" s="42">
        <f>-E36/E35</f>
        <v>7.8491892947841375</v>
      </c>
      <c r="F76" s="42">
        <f>-F36/F35</f>
        <v>0.86577296133664394</v>
      </c>
      <c r="G76" s="42">
        <f>-G36/G35</f>
        <v>0.26385759889186972</v>
      </c>
      <c r="H76" s="43">
        <v>0.25</v>
      </c>
      <c r="I76" s="43">
        <v>0.25</v>
      </c>
      <c r="J76" s="43">
        <v>0.25</v>
      </c>
      <c r="K76" s="43">
        <v>0.25</v>
      </c>
      <c r="L76" s="43">
        <v>0.25</v>
      </c>
      <c r="N76" t="s">
        <v>41</v>
      </c>
      <c r="P76" s="43"/>
    </row>
    <row r="77" spans="3:16" ht="15.75" customHeight="1">
      <c r="C77" s="34">
        <f>$C$14</f>
        <v>2</v>
      </c>
      <c r="D77" s="35" t="str">
        <f>$D$14</f>
        <v>[Case 2]</v>
      </c>
      <c r="E77" s="36"/>
      <c r="F77" s="33"/>
      <c r="G77" s="33"/>
      <c r="H77" s="40">
        <v>0.26</v>
      </c>
      <c r="I77" s="40">
        <v>0.26</v>
      </c>
      <c r="J77" s="40">
        <v>0.26</v>
      </c>
      <c r="K77" s="40">
        <v>0.26</v>
      </c>
      <c r="L77" s="40">
        <v>0.26</v>
      </c>
      <c r="N77" t="s">
        <v>42</v>
      </c>
      <c r="P77" s="43"/>
    </row>
    <row r="78" spans="3:16" ht="15.75" customHeight="1">
      <c r="C78" s="34">
        <f>$C$15</f>
        <v>3</v>
      </c>
      <c r="D78" s="35" t="str">
        <f>$D$15</f>
        <v>[Case 3]</v>
      </c>
      <c r="E78" s="36"/>
      <c r="F78" s="33"/>
      <c r="G78" s="33"/>
      <c r="H78" s="40"/>
      <c r="I78" s="40"/>
      <c r="J78" s="40"/>
      <c r="K78" s="40"/>
      <c r="L78" s="40"/>
      <c r="P78" s="43"/>
    </row>
    <row r="79" spans="3:16" ht="15.75" customHeight="1">
      <c r="C79" s="34"/>
      <c r="D79" s="35"/>
      <c r="E79" s="36"/>
      <c r="F79" s="33"/>
      <c r="G79" s="33"/>
      <c r="H79" s="40"/>
      <c r="I79" s="40"/>
      <c r="J79" s="40"/>
      <c r="K79" s="40"/>
      <c r="L79" s="40"/>
      <c r="P79" s="43"/>
    </row>
    <row r="80" spans="3:16" ht="15.75" customHeight="1">
      <c r="C80" s="37" t="s">
        <v>43</v>
      </c>
      <c r="D80" s="38"/>
      <c r="E80" s="39">
        <f t="shared" ref="E80:L80" ca="1" si="12">OFFSET(E80,$C$12,)</f>
        <v>0.12295969306315364</v>
      </c>
      <c r="F80" s="39">
        <f t="shared" ca="1" si="12"/>
        <v>0.13185254377323896</v>
      </c>
      <c r="G80" s="39">
        <f t="shared" ca="1" si="12"/>
        <v>0.13330645778515574</v>
      </c>
      <c r="H80" s="39">
        <f t="shared" ca="1" si="12"/>
        <v>0.13</v>
      </c>
      <c r="I80" s="39">
        <f t="shared" ca="1" si="12"/>
        <v>0.13</v>
      </c>
      <c r="J80" s="39">
        <f t="shared" ca="1" si="12"/>
        <v>0.13</v>
      </c>
      <c r="K80" s="39">
        <f t="shared" ca="1" si="12"/>
        <v>0.13</v>
      </c>
      <c r="L80" s="39">
        <f t="shared" ca="1" si="12"/>
        <v>0.13</v>
      </c>
      <c r="P80" s="43"/>
    </row>
    <row r="81" spans="3:16" ht="15.75" customHeight="1">
      <c r="C81" s="34">
        <f>$C$13</f>
        <v>1</v>
      </c>
      <c r="D81" s="35" t="str">
        <f>$D$13</f>
        <v>[Case 1]</v>
      </c>
      <c r="E81" s="45">
        <f>E50/E23</f>
        <v>0.12295969306315364</v>
      </c>
      <c r="F81" s="45">
        <f>F50/F23</f>
        <v>0.13185254377323896</v>
      </c>
      <c r="G81" s="45">
        <f>G50/G23</f>
        <v>0.13330645778515574</v>
      </c>
      <c r="H81" s="46">
        <v>0.13</v>
      </c>
      <c r="I81" s="46">
        <v>0.13</v>
      </c>
      <c r="J81" s="46">
        <v>0.13</v>
      </c>
      <c r="K81" s="46">
        <v>0.13</v>
      </c>
      <c r="L81" s="46">
        <v>0.13</v>
      </c>
      <c r="P81" s="43"/>
    </row>
    <row r="82" spans="3:16" ht="15.75" customHeight="1">
      <c r="C82" s="34">
        <f>$C$14</f>
        <v>2</v>
      </c>
      <c r="D82" s="35" t="str">
        <f>$D$14</f>
        <v>[Case 2]</v>
      </c>
      <c r="E82" s="36"/>
      <c r="F82" s="33"/>
      <c r="G82" s="33"/>
      <c r="H82" s="40">
        <v>0.125</v>
      </c>
      <c r="I82" s="40">
        <v>0.125</v>
      </c>
      <c r="J82" s="40">
        <v>0.128</v>
      </c>
      <c r="K82" s="40">
        <v>0.13</v>
      </c>
      <c r="L82" s="40">
        <v>0.13</v>
      </c>
      <c r="N82" t="s">
        <v>44</v>
      </c>
      <c r="P82" s="43"/>
    </row>
    <row r="83" spans="3:16" ht="15.75" customHeight="1">
      <c r="C83" s="34">
        <f>$C$15</f>
        <v>3</v>
      </c>
      <c r="D83" s="35" t="str">
        <f>$D$15</f>
        <v>[Case 3]</v>
      </c>
      <c r="E83" s="36"/>
      <c r="F83" s="33"/>
      <c r="G83" s="33"/>
      <c r="H83" s="40"/>
      <c r="I83" s="40"/>
      <c r="J83" s="40"/>
      <c r="K83" s="40"/>
      <c r="L83" s="40"/>
      <c r="P83" s="43"/>
    </row>
    <row r="84" spans="3:16" ht="15.75" customHeight="1">
      <c r="C84" s="34"/>
      <c r="D84" s="35"/>
      <c r="E84" s="36"/>
      <c r="F84" s="33"/>
      <c r="G84" s="33"/>
      <c r="H84" s="40"/>
      <c r="I84" s="40"/>
      <c r="J84" s="40"/>
      <c r="K84" s="40"/>
      <c r="L84" s="40"/>
      <c r="P84" s="43"/>
    </row>
    <row r="85" spans="3:16" ht="15.75" customHeight="1">
      <c r="C85" s="37" t="s">
        <v>46</v>
      </c>
      <c r="D85" s="38"/>
      <c r="E85" s="47">
        <f t="shared" ref="E85:L85" ca="1" si="13">OFFSET(E85,$C$12,)</f>
        <v>0</v>
      </c>
      <c r="F85" s="47">
        <f t="shared" ca="1" si="13"/>
        <v>0</v>
      </c>
      <c r="G85" s="47">
        <f t="shared" ca="1" si="13"/>
        <v>0</v>
      </c>
      <c r="H85" s="48">
        <f t="shared" ca="1" si="13"/>
        <v>0</v>
      </c>
      <c r="I85" s="48">
        <f t="shared" ca="1" si="13"/>
        <v>75000</v>
      </c>
      <c r="J85" s="48">
        <f t="shared" ca="1" si="13"/>
        <v>75000</v>
      </c>
      <c r="K85" s="48">
        <f t="shared" ca="1" si="13"/>
        <v>100000</v>
      </c>
      <c r="L85" s="48">
        <f t="shared" ca="1" si="13"/>
        <v>100000</v>
      </c>
      <c r="P85" s="43"/>
    </row>
    <row r="86" spans="3:16" ht="15.75" customHeight="1">
      <c r="C86" s="34">
        <f>$C$13</f>
        <v>1</v>
      </c>
      <c r="D86" s="35" t="str">
        <f>$D$13</f>
        <v>[Case 1]</v>
      </c>
      <c r="E86" s="45"/>
      <c r="F86" s="45"/>
      <c r="G86" s="45"/>
      <c r="H86" s="49">
        <v>0</v>
      </c>
      <c r="I86" s="49">
        <v>75000</v>
      </c>
      <c r="J86" s="49">
        <v>75000</v>
      </c>
      <c r="K86" s="49">
        <v>100000</v>
      </c>
      <c r="L86" s="49">
        <v>100000</v>
      </c>
      <c r="P86" s="43"/>
    </row>
    <row r="87" spans="3:16" ht="15.75" customHeight="1">
      <c r="C87" s="34">
        <f>$C$14</f>
        <v>2</v>
      </c>
      <c r="D87" s="35" t="str">
        <f>$D$14</f>
        <v>[Case 2]</v>
      </c>
      <c r="E87" s="36"/>
      <c r="F87" s="33"/>
      <c r="G87" s="33"/>
      <c r="H87" s="49">
        <v>0</v>
      </c>
      <c r="I87" s="49">
        <v>50000</v>
      </c>
      <c r="J87" s="49">
        <v>50000</v>
      </c>
      <c r="K87" s="49">
        <v>75000</v>
      </c>
      <c r="L87" s="49">
        <v>75000</v>
      </c>
      <c r="N87" t="s">
        <v>47</v>
      </c>
      <c r="P87" s="43"/>
    </row>
    <row r="88" spans="3:16" ht="15.75" customHeight="1">
      <c r="C88" s="34">
        <f>$C$15</f>
        <v>3</v>
      </c>
      <c r="D88" s="35" t="str">
        <f>$D$15</f>
        <v>[Case 3]</v>
      </c>
      <c r="E88" s="36"/>
      <c r="F88" s="33"/>
      <c r="G88" s="33"/>
      <c r="H88" s="40"/>
      <c r="I88" s="40"/>
      <c r="J88" s="40"/>
      <c r="K88" s="40"/>
      <c r="L88" s="40"/>
      <c r="P88" s="43"/>
    </row>
    <row r="89" spans="3:16" ht="15.75" customHeight="1">
      <c r="C89" s="34"/>
      <c r="D89" s="35"/>
      <c r="E89" s="36"/>
      <c r="F89" s="33"/>
      <c r="G89" s="33"/>
      <c r="H89" s="40"/>
      <c r="I89" s="40"/>
      <c r="J89" s="40"/>
      <c r="K89" s="40"/>
      <c r="L89" s="40"/>
      <c r="P89" s="43"/>
    </row>
    <row r="90" spans="3:16" ht="15.75" customHeight="1">
      <c r="C90" s="37" t="s">
        <v>49</v>
      </c>
      <c r="D90" s="38"/>
      <c r="E90" s="47">
        <f t="shared" ref="E90:L90" ca="1" si="14">OFFSET(E90,$C$12,)</f>
        <v>0</v>
      </c>
      <c r="F90" s="47">
        <f t="shared" ca="1" si="14"/>
        <v>0</v>
      </c>
      <c r="G90" s="47">
        <f t="shared" ca="1" si="14"/>
        <v>0</v>
      </c>
      <c r="H90" s="48">
        <f t="shared" ca="1" si="14"/>
        <v>50000</v>
      </c>
      <c r="I90" s="48">
        <f t="shared" ca="1" si="14"/>
        <v>100000</v>
      </c>
      <c r="J90" s="48">
        <f t="shared" ca="1" si="14"/>
        <v>100000</v>
      </c>
      <c r="K90" s="48">
        <f t="shared" ca="1" si="14"/>
        <v>100000</v>
      </c>
      <c r="L90" s="48">
        <f t="shared" ca="1" si="14"/>
        <v>100000</v>
      </c>
      <c r="P90" s="43"/>
    </row>
    <row r="91" spans="3:16" ht="15.75" customHeight="1">
      <c r="C91" s="34">
        <f>$C$13</f>
        <v>1</v>
      </c>
      <c r="D91" s="35" t="str">
        <f>$D$13</f>
        <v>[Case 1]</v>
      </c>
      <c r="E91" s="45"/>
      <c r="F91" s="45"/>
      <c r="G91" s="45"/>
      <c r="H91" s="49">
        <v>50000</v>
      </c>
      <c r="I91" s="49">
        <v>100000</v>
      </c>
      <c r="J91" s="49">
        <v>100000</v>
      </c>
      <c r="K91" s="49">
        <v>100000</v>
      </c>
      <c r="L91" s="49">
        <v>100000</v>
      </c>
      <c r="P91" s="43"/>
    </row>
    <row r="92" spans="3:16" ht="15.75" customHeight="1">
      <c r="C92" s="34">
        <f>$C$14</f>
        <v>2</v>
      </c>
      <c r="D92" s="35" t="str">
        <f>$D$14</f>
        <v>[Case 2]</v>
      </c>
      <c r="E92" s="36"/>
      <c r="F92" s="33"/>
      <c r="G92" s="33"/>
      <c r="H92" s="49">
        <v>50000</v>
      </c>
      <c r="I92" s="49">
        <v>75000</v>
      </c>
      <c r="J92" s="49">
        <v>75000</v>
      </c>
      <c r="K92" s="49">
        <v>75000</v>
      </c>
      <c r="L92" s="49">
        <v>75000</v>
      </c>
      <c r="N92" t="s">
        <v>50</v>
      </c>
      <c r="P92" s="43"/>
    </row>
    <row r="93" spans="3:16" ht="15.75" customHeight="1">
      <c r="C93" s="34">
        <f>$C$15</f>
        <v>3</v>
      </c>
      <c r="D93" s="35" t="str">
        <f>$D$15</f>
        <v>[Case 3]</v>
      </c>
      <c r="E93" s="36"/>
      <c r="F93" s="33"/>
      <c r="G93" s="33"/>
      <c r="H93" s="40"/>
      <c r="I93" s="40"/>
      <c r="J93" s="40"/>
      <c r="K93" s="40"/>
      <c r="L93" s="40"/>
      <c r="P93" s="43"/>
    </row>
    <row r="94" spans="3:16" ht="15.75" customHeight="1">
      <c r="C94" s="34"/>
      <c r="D94" s="35"/>
      <c r="E94" s="36"/>
      <c r="F94" s="33"/>
      <c r="G94" s="33"/>
      <c r="H94" s="40"/>
      <c r="I94" s="40"/>
      <c r="J94" s="40"/>
      <c r="K94" s="40"/>
      <c r="L94" s="40"/>
      <c r="P94" s="43"/>
    </row>
    <row r="95" spans="3:16" ht="15.75" customHeight="1">
      <c r="C95" s="37" t="s">
        <v>52</v>
      </c>
      <c r="D95" s="38"/>
      <c r="E95" s="47">
        <f t="shared" ref="E95:L95" ca="1" si="15">OFFSET(E95,$C$12,)</f>
        <v>0</v>
      </c>
      <c r="F95" s="47">
        <f t="shared" ca="1" si="15"/>
        <v>0</v>
      </c>
      <c r="G95" s="47">
        <f t="shared" ca="1" si="15"/>
        <v>0</v>
      </c>
      <c r="H95" s="48">
        <f t="shared" ca="1" si="15"/>
        <v>0</v>
      </c>
      <c r="I95" s="48">
        <f t="shared" ca="1" si="15"/>
        <v>100000</v>
      </c>
      <c r="J95" s="48">
        <f t="shared" ca="1" si="15"/>
        <v>100000</v>
      </c>
      <c r="K95" s="48">
        <f t="shared" ca="1" si="15"/>
        <v>150000</v>
      </c>
      <c r="L95" s="48">
        <f t="shared" ca="1" si="15"/>
        <v>150000</v>
      </c>
      <c r="P95" s="43"/>
    </row>
    <row r="96" spans="3:16" ht="15.75" customHeight="1">
      <c r="C96" s="34">
        <f>$C$13</f>
        <v>1</v>
      </c>
      <c r="D96" s="35" t="str">
        <f>$D$13</f>
        <v>[Case 1]</v>
      </c>
      <c r="E96" s="45"/>
      <c r="F96" s="45"/>
      <c r="G96" s="45"/>
      <c r="H96" s="49">
        <v>0</v>
      </c>
      <c r="I96" s="49">
        <v>100000</v>
      </c>
      <c r="J96" s="49">
        <v>100000</v>
      </c>
      <c r="K96" s="49">
        <v>150000</v>
      </c>
      <c r="L96" s="49">
        <v>150000</v>
      </c>
      <c r="P96" s="43"/>
    </row>
    <row r="97" spans="2:17" ht="15.75" customHeight="1">
      <c r="C97" s="34">
        <f>$C$14</f>
        <v>2</v>
      </c>
      <c r="D97" s="35" t="str">
        <f>$D$14</f>
        <v>[Case 2]</v>
      </c>
      <c r="E97" s="36"/>
      <c r="F97" s="33"/>
      <c r="G97" s="33"/>
      <c r="H97" s="49">
        <v>0</v>
      </c>
      <c r="I97" s="49">
        <v>75000</v>
      </c>
      <c r="J97" s="49">
        <v>100000</v>
      </c>
      <c r="K97" s="49">
        <v>100000</v>
      </c>
      <c r="L97" s="49">
        <v>125000</v>
      </c>
      <c r="N97" t="s">
        <v>53</v>
      </c>
      <c r="P97" s="43"/>
    </row>
    <row r="98" spans="2:17" ht="15.75" customHeight="1">
      <c r="C98" s="34">
        <f>$C$15</f>
        <v>3</v>
      </c>
      <c r="D98" s="35" t="str">
        <f>$D$15</f>
        <v>[Case 3]</v>
      </c>
      <c r="E98" s="36"/>
      <c r="F98" s="33"/>
      <c r="G98" s="33"/>
      <c r="H98" s="40"/>
      <c r="I98" s="40"/>
      <c r="J98" s="40"/>
      <c r="K98" s="40"/>
      <c r="L98" s="40"/>
      <c r="P98" s="43"/>
    </row>
    <row r="99" spans="2:17" ht="15.75" customHeight="1"/>
    <row r="100" spans="2:17" ht="15.75" customHeight="1">
      <c r="C100" s="34"/>
      <c r="D100" s="35"/>
      <c r="E100" s="36"/>
      <c r="F100" s="33"/>
      <c r="G100" s="33"/>
      <c r="H100" s="40"/>
      <c r="I100" s="40"/>
      <c r="J100" s="40"/>
      <c r="K100" s="40"/>
      <c r="L100" s="40"/>
      <c r="P100" s="43"/>
    </row>
    <row r="101" spans="2:17" ht="15.75" customHeight="1">
      <c r="B101" t="s">
        <v>0</v>
      </c>
      <c r="C101" s="57" t="s">
        <v>97</v>
      </c>
      <c r="D101" s="57"/>
      <c r="E101" s="31"/>
      <c r="F101" s="31"/>
      <c r="G101" s="31"/>
      <c r="H101" s="6"/>
      <c r="I101" s="6"/>
      <c r="J101" s="6"/>
      <c r="K101" s="6"/>
      <c r="L101" s="6"/>
    </row>
    <row r="102" spans="2:17" ht="15.75" customHeight="1">
      <c r="C102" s="79" t="str">
        <f>C18</f>
        <v xml:space="preserve">Fiscal year  </v>
      </c>
      <c r="D102" s="79"/>
      <c r="E102" s="80">
        <f t="shared" ref="E102:L103" si="16">E18</f>
        <v>2023</v>
      </c>
      <c r="F102" s="81">
        <f t="shared" si="16"/>
        <v>2024</v>
      </c>
      <c r="G102" s="81">
        <f t="shared" si="16"/>
        <v>2025</v>
      </c>
      <c r="H102" s="83">
        <f t="shared" si="16"/>
        <v>2026</v>
      </c>
      <c r="I102" s="83">
        <f t="shared" si="16"/>
        <v>2027</v>
      </c>
      <c r="J102" s="83">
        <f t="shared" si="16"/>
        <v>2028</v>
      </c>
      <c r="K102" s="83">
        <f t="shared" si="16"/>
        <v>2029</v>
      </c>
      <c r="L102" s="83">
        <f t="shared" si="16"/>
        <v>2030</v>
      </c>
    </row>
    <row r="103" spans="2:17" ht="15.75" customHeight="1">
      <c r="C103" s="6" t="str">
        <f>C19</f>
        <v>Fiscal year end date</v>
      </c>
      <c r="D103" s="6"/>
      <c r="E103" s="84">
        <f t="shared" si="16"/>
        <v>45291</v>
      </c>
      <c r="F103" s="85">
        <f t="shared" si="16"/>
        <v>45657</v>
      </c>
      <c r="G103" s="85">
        <f t="shared" si="16"/>
        <v>46022</v>
      </c>
      <c r="H103" s="85">
        <f t="shared" si="16"/>
        <v>46387</v>
      </c>
      <c r="I103" s="85">
        <f t="shared" si="16"/>
        <v>46752</v>
      </c>
      <c r="J103" s="85">
        <f t="shared" si="16"/>
        <v>47118</v>
      </c>
      <c r="K103" s="85">
        <f t="shared" si="16"/>
        <v>47483</v>
      </c>
      <c r="L103" s="85">
        <f t="shared" si="16"/>
        <v>47848</v>
      </c>
    </row>
    <row r="104" spans="2:17" ht="15.75" customHeight="1">
      <c r="C104" s="25" t="s">
        <v>99</v>
      </c>
      <c r="D104" s="25"/>
      <c r="E104" s="86"/>
      <c r="F104" s="86"/>
      <c r="G104" s="86"/>
      <c r="H104" s="86"/>
      <c r="I104" s="86"/>
      <c r="J104" s="86"/>
      <c r="K104" s="86"/>
      <c r="L104" s="86"/>
    </row>
    <row r="105" spans="2:17" ht="15.75" customHeight="1">
      <c r="C105" s="25" t="s">
        <v>100</v>
      </c>
      <c r="D105" s="25"/>
      <c r="E105" s="86"/>
      <c r="F105" s="86"/>
      <c r="G105" s="86"/>
      <c r="H105" s="86"/>
      <c r="I105" s="86"/>
      <c r="J105" s="86"/>
      <c r="K105" s="86"/>
      <c r="L105" s="86"/>
    </row>
    <row r="106" spans="2:17" ht="15.75" customHeight="1">
      <c r="C106" s="89" t="s">
        <v>101</v>
      </c>
      <c r="D106" s="89"/>
      <c r="E106" s="49"/>
      <c r="F106" s="49">
        <v>102581</v>
      </c>
      <c r="G106" s="49">
        <v>289717</v>
      </c>
      <c r="H106" s="91">
        <f ca="1">G106+H173</f>
        <v>510769.65114840347</v>
      </c>
      <c r="I106" s="91">
        <f ca="1">H106+I173</f>
        <v>601266.37442485965</v>
      </c>
      <c r="J106" s="91">
        <f ca="1">I106+J173</f>
        <v>806291.50323822116</v>
      </c>
      <c r="K106" s="91">
        <f ca="1">J106+K173</f>
        <v>1048912.7470052112</v>
      </c>
      <c r="L106" s="91">
        <f ca="1">K106+L173</f>
        <v>1404460.5378472444</v>
      </c>
    </row>
    <row r="107" spans="2:17" ht="15.75" customHeight="1">
      <c r="C107" s="89" t="s">
        <v>102</v>
      </c>
      <c r="D107" s="89"/>
      <c r="E107" s="49"/>
      <c r="F107" s="49">
        <v>580668</v>
      </c>
      <c r="G107" s="49">
        <v>654390</v>
      </c>
      <c r="H107" s="91">
        <f ca="1">G107*(1+H53)</f>
        <v>751188.60633242456</v>
      </c>
      <c r="I107" s="91">
        <f ca="1">H107*(1+I53)</f>
        <v>848219.13039648917</v>
      </c>
      <c r="J107" s="91">
        <f ca="1">I107*(1+J53)</f>
        <v>949916.39895907184</v>
      </c>
      <c r="K107" s="91">
        <f ca="1">J107*(1+K53)</f>
        <v>1055652.1698433615</v>
      </c>
      <c r="L107" s="91">
        <f ca="1">K107*(1+L53)</f>
        <v>1168141.0909152906</v>
      </c>
    </row>
    <row r="108" spans="2:17" ht="15.75" customHeight="1">
      <c r="C108" s="89" t="s">
        <v>103</v>
      </c>
      <c r="D108" s="89"/>
      <c r="E108" s="49"/>
      <c r="F108" s="49">
        <v>915200</v>
      </c>
      <c r="G108" s="49">
        <v>1071703</v>
      </c>
      <c r="H108" s="91">
        <f ca="1">G108*(1+H53)</f>
        <v>1230231.3344829206</v>
      </c>
      <c r="I108" s="91">
        <f ca="1">H108*(1+I53)</f>
        <v>1389139.4836463097</v>
      </c>
      <c r="J108" s="91">
        <f ca="1">I108*(1+J53)</f>
        <v>1555690.4208707868</v>
      </c>
      <c r="K108" s="91">
        <f ca="1">J108*(1+K53)</f>
        <v>1728855.2657859074</v>
      </c>
      <c r="L108" s="91">
        <f ca="1">K108*(1+L53)</f>
        <v>1913079.832450358</v>
      </c>
    </row>
    <row r="109" spans="2:17" ht="15.75" customHeight="1">
      <c r="C109" s="89" t="s">
        <v>104</v>
      </c>
      <c r="D109" s="89"/>
      <c r="E109" s="49"/>
      <c r="F109" s="49">
        <v>847018</v>
      </c>
      <c r="G109" s="49">
        <v>827691</v>
      </c>
      <c r="H109" s="91">
        <f ca="1">G109*(1+((H24-G24)/G24))</f>
        <v>945700.59777319001</v>
      </c>
      <c r="I109" s="91">
        <f ca="1">H109*(1+((I24-H24)/H24))</f>
        <v>1064078.3113533934</v>
      </c>
      <c r="J109" s="91">
        <f ca="1">I109*(1+((J24-I24)/I24))</f>
        <v>1184604.8064727045</v>
      </c>
      <c r="K109" s="91">
        <f ca="1">J109*(1+((K24-J24)/J24))</f>
        <v>1311762.2296954095</v>
      </c>
      <c r="L109" s="91">
        <f ca="1">K109*(1+((L24-K24)/K24))</f>
        <v>1448073.4659263566</v>
      </c>
      <c r="Q109" s="91"/>
    </row>
    <row r="110" spans="2:17" ht="15.75" customHeight="1">
      <c r="C110" s="89" t="s">
        <v>105</v>
      </c>
      <c r="D110" s="89"/>
      <c r="E110" s="49"/>
      <c r="F110" s="49">
        <v>29707</v>
      </c>
      <c r="G110" s="49">
        <v>42776</v>
      </c>
      <c r="H110" s="91">
        <f ca="1">G110*(1+H53)</f>
        <v>49103.50681470651</v>
      </c>
      <c r="I110" s="91">
        <f ca="1">H110*(1+I53)</f>
        <v>55446.173569034094</v>
      </c>
      <c r="J110" s="91">
        <f ca="1">I110*(1+J53)</f>
        <v>62093.894897344486</v>
      </c>
      <c r="K110" s="91">
        <f ca="1">J110*(1+K53)</f>
        <v>69005.604023930122</v>
      </c>
      <c r="L110" s="91">
        <f ca="1">K110*(1+L53)</f>
        <v>76358.751363854084</v>
      </c>
    </row>
    <row r="111" spans="2:17" ht="15.75" customHeight="1">
      <c r="C111" s="89" t="s">
        <v>106</v>
      </c>
      <c r="D111" s="89"/>
      <c r="E111" s="49"/>
      <c r="F111" s="49">
        <v>9960</v>
      </c>
      <c r="G111" s="49">
        <v>10182</v>
      </c>
      <c r="H111" s="91">
        <f>G111</f>
        <v>10182</v>
      </c>
      <c r="I111" s="91">
        <f>H111</f>
        <v>10182</v>
      </c>
      <c r="J111" s="91">
        <f>I111</f>
        <v>10182</v>
      </c>
      <c r="K111" s="91">
        <f>J111</f>
        <v>10182</v>
      </c>
      <c r="L111" s="91">
        <f>K111</f>
        <v>10182</v>
      </c>
    </row>
    <row r="112" spans="2:17" ht="15.75" customHeight="1">
      <c r="C112" s="93" t="s">
        <v>107</v>
      </c>
      <c r="D112" s="93"/>
      <c r="E112" s="49"/>
      <c r="F112" s="98">
        <f t="shared" ref="F112:L112" si="17">SUM(F106:F111)</f>
        <v>2485134</v>
      </c>
      <c r="G112" s="98">
        <f t="shared" si="17"/>
        <v>2896459</v>
      </c>
      <c r="H112" s="98">
        <f t="shared" ca="1" si="17"/>
        <v>3497175.6965516452</v>
      </c>
      <c r="I112" s="98">
        <f t="shared" ca="1" si="17"/>
        <v>3968331.4733900866</v>
      </c>
      <c r="J112" s="98">
        <f t="shared" ca="1" si="17"/>
        <v>4568779.0244381288</v>
      </c>
      <c r="K112" s="98">
        <f t="shared" ca="1" si="17"/>
        <v>5224370.0163538195</v>
      </c>
      <c r="L112" s="98">
        <f t="shared" ca="1" si="17"/>
        <v>6020295.6785031036</v>
      </c>
    </row>
    <row r="113" spans="3:16" ht="15.75" customHeight="1">
      <c r="C113" t="s">
        <v>108</v>
      </c>
      <c r="E113" s="49"/>
      <c r="F113" s="49">
        <v>568607</v>
      </c>
      <c r="G113" s="49">
        <v>579971</v>
      </c>
      <c r="H113" s="91">
        <f ca="1">H182</f>
        <v>602929.43782247358</v>
      </c>
      <c r="I113" s="91">
        <f ca="1">I182</f>
        <v>628853.4015259681</v>
      </c>
      <c r="J113" s="91">
        <f ca="1">J182</f>
        <v>657885.51995562238</v>
      </c>
      <c r="K113" s="91">
        <f ca="1">K182</f>
        <v>690149.22110763751</v>
      </c>
      <c r="L113" s="91">
        <f ca="1">L182</f>
        <v>725850.90025662479</v>
      </c>
      <c r="P113" s="91"/>
    </row>
    <row r="114" spans="3:16" ht="15.75" customHeight="1">
      <c r="C114" s="95" t="s">
        <v>109</v>
      </c>
      <c r="D114" s="95"/>
      <c r="E114" s="49"/>
      <c r="F114" s="49">
        <v>172206</v>
      </c>
      <c r="G114" s="49">
        <v>222151</v>
      </c>
      <c r="H114" s="91">
        <f>G114</f>
        <v>222151</v>
      </c>
      <c r="I114" s="91">
        <f>H114</f>
        <v>222151</v>
      </c>
      <c r="J114" s="91">
        <f>I114</f>
        <v>222151</v>
      </c>
      <c r="K114" s="91">
        <f>J114</f>
        <v>222151</v>
      </c>
      <c r="L114" s="91">
        <f>K114</f>
        <v>222151</v>
      </c>
      <c r="P114" s="91"/>
    </row>
    <row r="115" spans="3:16" ht="15.75" customHeight="1">
      <c r="C115" s="95" t="s">
        <v>110</v>
      </c>
      <c r="D115" s="95"/>
      <c r="E115" s="49"/>
      <c r="F115" s="49">
        <v>1004701</v>
      </c>
      <c r="G115" s="49">
        <v>920432</v>
      </c>
      <c r="H115" s="91">
        <f ca="1">G115 - H187*0.6425 + (-H163)*0.4</f>
        <v>842417.72250000003</v>
      </c>
      <c r="I115" s="91">
        <f ca="1">H115 - I187*0.6425 + (-I163)*0.4</f>
        <v>801005.13250000007</v>
      </c>
      <c r="J115" s="91">
        <f ca="1">I115 - J187*0.6425 + (-J163)*0.4</f>
        <v>760594.20000000007</v>
      </c>
      <c r="K115" s="91">
        <f ca="1">J115 - K187*0.6425 + (-K163)*0.4</f>
        <v>732224.49000000011</v>
      </c>
      <c r="L115" s="91">
        <f ca="1">K115 - L187*0.6425 + (-L163)*0.4</f>
        <v>704520.41000000015</v>
      </c>
      <c r="N115" t="s">
        <v>111</v>
      </c>
      <c r="P115" s="91"/>
    </row>
    <row r="116" spans="3:16" ht="15.75" customHeight="1">
      <c r="C116" s="95" t="s">
        <v>112</v>
      </c>
      <c r="D116" s="95"/>
      <c r="E116" s="49"/>
      <c r="F116" s="49">
        <v>291487</v>
      </c>
      <c r="G116" s="49">
        <v>244877</v>
      </c>
      <c r="H116" s="91">
        <f>G116 - H187*0.3575 + (-H166)</f>
        <v>228468.2775</v>
      </c>
      <c r="I116" s="91">
        <f>H116 - I187*0.3575 + (-I166)</f>
        <v>215732.86749999999</v>
      </c>
      <c r="J116" s="91">
        <f>I116 - J187*0.3575 + (-J166)</f>
        <v>203554.8</v>
      </c>
      <c r="K116" s="91">
        <f>J116 - K187*0.3575 + (-K166)</f>
        <v>192512.50999999998</v>
      </c>
      <c r="L116" s="91">
        <f>K116 - L187*0.3575 + (-L166)</f>
        <v>181840.58999999997</v>
      </c>
      <c r="N116" t="s">
        <v>113</v>
      </c>
    </row>
    <row r="117" spans="3:16" ht="15.75" customHeight="1">
      <c r="C117" s="95" t="s">
        <v>114</v>
      </c>
      <c r="D117" s="95"/>
      <c r="E117" s="49"/>
      <c r="F117" s="49">
        <v>1685970</v>
      </c>
      <c r="G117" s="49">
        <v>1684255</v>
      </c>
      <c r="H117" s="91">
        <f ca="1">G117 + (-H163)*0.6</f>
        <v>1684255</v>
      </c>
      <c r="I117" s="91">
        <f ca="1">H117 + (-I163)*0.6</f>
        <v>1729255</v>
      </c>
      <c r="J117" s="91">
        <f ca="1">I117 + (-J163)*0.6</f>
        <v>1774255</v>
      </c>
      <c r="K117" s="91">
        <f ca="1">J117 + (-K163)*0.6</f>
        <v>1834255</v>
      </c>
      <c r="L117" s="91">
        <f ca="1">K117 + (-L163)*0.6</f>
        <v>1894255</v>
      </c>
      <c r="N117" t="s">
        <v>336</v>
      </c>
    </row>
    <row r="118" spans="3:16" ht="15.75" customHeight="1">
      <c r="C118" s="95" t="s">
        <v>116</v>
      </c>
      <c r="D118" s="95"/>
      <c r="E118" s="49"/>
      <c r="F118" s="49">
        <v>1079</v>
      </c>
      <c r="G118" s="49">
        <v>2832</v>
      </c>
      <c r="H118" s="91">
        <f>G118</f>
        <v>2832</v>
      </c>
      <c r="I118" s="91">
        <f>H118</f>
        <v>2832</v>
      </c>
      <c r="J118" s="91">
        <f>I118</f>
        <v>2832</v>
      </c>
      <c r="K118" s="91">
        <f>J118</f>
        <v>2832</v>
      </c>
      <c r="L118" s="91">
        <f>K118</f>
        <v>2832</v>
      </c>
    </row>
    <row r="119" spans="3:16" ht="15.75" customHeight="1">
      <c r="C119" t="s">
        <v>117</v>
      </c>
      <c r="E119" s="49"/>
      <c r="F119" s="49">
        <v>4417</v>
      </c>
      <c r="G119" s="49">
        <v>6434</v>
      </c>
      <c r="H119" s="91">
        <f ca="1">G119*(1+H53)</f>
        <v>7385.7294474897535</v>
      </c>
      <c r="I119" s="91">
        <f ca="1">H119*(1+I53)</f>
        <v>8339.7391234141887</v>
      </c>
      <c r="J119" s="91">
        <f ca="1">I119*(1+J53)</f>
        <v>9339.6324988197684</v>
      </c>
      <c r="K119" s="91">
        <f ca="1">J119*(1+K53)</f>
        <v>10379.232660603291</v>
      </c>
      <c r="L119" s="91">
        <f ca="1">K119*(1+L53)</f>
        <v>11485.230182229221</v>
      </c>
    </row>
    <row r="120" spans="3:16" ht="15.75" customHeight="1">
      <c r="C120" s="97" t="s">
        <v>118</v>
      </c>
      <c r="D120" s="97"/>
      <c r="E120" s="98"/>
      <c r="F120" s="98">
        <f t="shared" ref="F120:L120" si="18">SUM(F112:F119)</f>
        <v>6213601</v>
      </c>
      <c r="G120" s="98">
        <f t="shared" si="18"/>
        <v>6557411</v>
      </c>
      <c r="H120" s="98">
        <f t="shared" ca="1" si="18"/>
        <v>7087614.8638216089</v>
      </c>
      <c r="I120" s="98">
        <f t="shared" ca="1" si="18"/>
        <v>7576500.6140394686</v>
      </c>
      <c r="J120" s="98">
        <f t="shared" ca="1" si="18"/>
        <v>8199391.1768925702</v>
      </c>
      <c r="K120" s="98">
        <f t="shared" ca="1" si="18"/>
        <v>8908873.4701220598</v>
      </c>
      <c r="L120" s="98">
        <f t="shared" ca="1" si="18"/>
        <v>9763230.8089419566</v>
      </c>
    </row>
    <row r="121" spans="3:16" ht="15.75" customHeight="1">
      <c r="C121" s="74" t="s">
        <v>119</v>
      </c>
      <c r="D121" s="74"/>
      <c r="E121" s="91"/>
      <c r="H121" s="91"/>
      <c r="I121" s="91"/>
      <c r="J121" s="91"/>
      <c r="K121" s="91"/>
      <c r="L121" s="91"/>
    </row>
    <row r="122" spans="3:16" ht="15.75" customHeight="1">
      <c r="C122" s="74" t="s">
        <v>120</v>
      </c>
      <c r="D122" s="74"/>
      <c r="E122" s="91"/>
      <c r="H122" s="91"/>
      <c r="I122" s="91"/>
      <c r="J122" s="91"/>
      <c r="K122" s="91"/>
      <c r="L122" s="91"/>
    </row>
    <row r="123" spans="3:16" ht="15.75" customHeight="1">
      <c r="C123" s="89" t="s">
        <v>121</v>
      </c>
      <c r="D123" s="89"/>
      <c r="E123" s="49"/>
      <c r="F123" s="49">
        <v>645701</v>
      </c>
      <c r="G123" s="49">
        <v>679772</v>
      </c>
      <c r="H123" s="91">
        <f ca="1">G123*(1+(H24-G24)/G24)</f>
        <v>776691.76872706949</v>
      </c>
      <c r="I123" s="91">
        <f ca="1">H123*(1+(I24-H24)/H24)</f>
        <v>873913.86624394718</v>
      </c>
      <c r="J123" s="91">
        <f ca="1">I123*(1+(J24-I24)/I24)</f>
        <v>972900.73047255957</v>
      </c>
      <c r="K123" s="91">
        <f ca="1">J123*(1+(K24-J24)/J24)</f>
        <v>1077333.4908854971</v>
      </c>
      <c r="L123" s="91">
        <f ca="1">K123*(1+(L24-K24)/K24)</f>
        <v>1189284.1604894716</v>
      </c>
    </row>
    <row r="124" spans="3:16" ht="15.75" customHeight="1">
      <c r="C124" s="89" t="s">
        <v>122</v>
      </c>
      <c r="D124" s="89"/>
      <c r="E124" s="49"/>
      <c r="F124" s="49">
        <v>99572</v>
      </c>
      <c r="G124" s="49">
        <v>91499</v>
      </c>
      <c r="H124" s="91">
        <f ca="1">G124*(1+H53)</f>
        <v>105033.70511592555</v>
      </c>
      <c r="I124" s="91">
        <f ca="1">H124*(1+I53)</f>
        <v>118600.83774530228</v>
      </c>
      <c r="J124" s="91">
        <f ca="1">I124*(1+J53)</f>
        <v>132820.49020974667</v>
      </c>
      <c r="K124" s="91">
        <f ca="1">J124*(1+K53)</f>
        <v>147604.81958541195</v>
      </c>
      <c r="L124" s="91">
        <f ca="1">K124*(1+L53)</f>
        <v>163333.39702265954</v>
      </c>
    </row>
    <row r="125" spans="3:16" ht="15.75" customHeight="1">
      <c r="C125" s="89" t="s">
        <v>123</v>
      </c>
      <c r="D125" s="89"/>
      <c r="E125" s="49"/>
      <c r="F125" s="49">
        <v>79134</v>
      </c>
      <c r="G125" s="49">
        <v>74008</v>
      </c>
      <c r="H125" s="91">
        <f ca="1">G125*(1+H53)</f>
        <v>84955.403318281271</v>
      </c>
      <c r="I125" s="91">
        <f ca="1">H125*(1+I53)</f>
        <v>95929.035288411149</v>
      </c>
      <c r="J125" s="91">
        <f ca="1">I125*(1+J53)</f>
        <v>107430.45103709254</v>
      </c>
      <c r="K125" s="91">
        <f ca="1">J125*(1+K53)</f>
        <v>119388.59974291705</v>
      </c>
      <c r="L125" s="91">
        <f ca="1">K125*(1+L53)</f>
        <v>132110.49352291267</v>
      </c>
    </row>
    <row r="126" spans="3:16" ht="15.75" customHeight="1">
      <c r="C126" s="89" t="s">
        <v>124</v>
      </c>
      <c r="D126" s="89"/>
      <c r="E126" s="49"/>
      <c r="F126" s="49">
        <v>17663</v>
      </c>
      <c r="G126" s="49">
        <v>22308</v>
      </c>
      <c r="H126" s="91">
        <f t="shared" ref="H126:L127" si="19">G126</f>
        <v>22308</v>
      </c>
      <c r="I126" s="91">
        <f t="shared" si="19"/>
        <v>22308</v>
      </c>
      <c r="J126" s="91">
        <f t="shared" si="19"/>
        <v>22308</v>
      </c>
      <c r="K126" s="91">
        <f t="shared" si="19"/>
        <v>22308</v>
      </c>
      <c r="L126" s="91">
        <f t="shared" si="19"/>
        <v>22308</v>
      </c>
    </row>
    <row r="127" spans="3:16" ht="15.75" customHeight="1">
      <c r="C127" s="89" t="s">
        <v>125</v>
      </c>
      <c r="D127" s="89"/>
      <c r="E127" s="49"/>
      <c r="F127" s="49">
        <v>1345</v>
      </c>
      <c r="G127" s="49">
        <v>438</v>
      </c>
      <c r="H127" s="91">
        <f t="shared" si="19"/>
        <v>438</v>
      </c>
      <c r="I127" s="91">
        <f t="shared" si="19"/>
        <v>438</v>
      </c>
      <c r="J127" s="91">
        <f t="shared" si="19"/>
        <v>438</v>
      </c>
      <c r="K127" s="91">
        <f t="shared" si="19"/>
        <v>438</v>
      </c>
      <c r="L127" s="91">
        <f t="shared" si="19"/>
        <v>438</v>
      </c>
    </row>
    <row r="128" spans="3:16" ht="15.75" customHeight="1">
      <c r="C128" s="89" t="s">
        <v>126</v>
      </c>
      <c r="D128" s="89"/>
      <c r="E128" s="49"/>
      <c r="F128" s="49">
        <v>400025</v>
      </c>
      <c r="G128" s="49">
        <v>411321</v>
      </c>
      <c r="H128" s="91">
        <f ca="1">G128*(1+H53)</f>
        <v>472164.38017888297</v>
      </c>
      <c r="I128" s="91">
        <f ca="1">H128*(1+I53)</f>
        <v>533153.53372425365</v>
      </c>
      <c r="J128" s="91">
        <f ca="1">I128*(1+J53)</f>
        <v>597075.99923019065</v>
      </c>
      <c r="K128" s="91">
        <f ca="1">J128*(1+K53)</f>
        <v>663536.8910774024</v>
      </c>
      <c r="L128" s="91">
        <f ca="1">K128*(1+L53)</f>
        <v>734242.5184620308</v>
      </c>
    </row>
    <row r="129" spans="3:12" ht="15.75" customHeight="1">
      <c r="C129" s="89" t="s">
        <v>127</v>
      </c>
      <c r="D129" s="89"/>
      <c r="E129" s="49"/>
      <c r="F129" s="49">
        <v>6655</v>
      </c>
      <c r="G129" s="49">
        <v>13547</v>
      </c>
      <c r="H129" s="91">
        <f t="shared" ref="H129:L130" si="20">G129</f>
        <v>13547</v>
      </c>
      <c r="I129" s="91">
        <f t="shared" si="20"/>
        <v>13547</v>
      </c>
      <c r="J129" s="91">
        <f t="shared" si="20"/>
        <v>13547</v>
      </c>
      <c r="K129" s="91">
        <f t="shared" si="20"/>
        <v>13547</v>
      </c>
      <c r="L129" s="91">
        <f t="shared" si="20"/>
        <v>13547</v>
      </c>
    </row>
    <row r="130" spans="3:12" ht="15.75" customHeight="1">
      <c r="C130" s="89" t="s">
        <v>128</v>
      </c>
      <c r="D130" s="89"/>
      <c r="E130" s="49"/>
      <c r="F130" s="49">
        <v>23449</v>
      </c>
      <c r="G130" s="49">
        <v>23444</v>
      </c>
      <c r="H130" s="91">
        <f t="shared" si="20"/>
        <v>23444</v>
      </c>
      <c r="I130" s="91">
        <f t="shared" si="20"/>
        <v>23444</v>
      </c>
      <c r="J130" s="91">
        <f t="shared" si="20"/>
        <v>23444</v>
      </c>
      <c r="K130" s="91">
        <f t="shared" si="20"/>
        <v>23444</v>
      </c>
      <c r="L130" s="91">
        <f t="shared" si="20"/>
        <v>23444</v>
      </c>
    </row>
    <row r="131" spans="3:12" ht="15.75" customHeight="1">
      <c r="C131" s="93" t="s">
        <v>130</v>
      </c>
      <c r="D131" s="93"/>
      <c r="E131" s="49"/>
      <c r="F131" s="98">
        <f t="shared" ref="F131:L131" si="21">SUM(F123:F130)</f>
        <v>1273544</v>
      </c>
      <c r="G131" s="98">
        <f t="shared" si="21"/>
        <v>1316337</v>
      </c>
      <c r="H131" s="98">
        <f t="shared" ca="1" si="21"/>
        <v>1498582.2573401593</v>
      </c>
      <c r="I131" s="98">
        <f t="shared" ca="1" si="21"/>
        <v>1681334.2730019144</v>
      </c>
      <c r="J131" s="98">
        <f t="shared" ca="1" si="21"/>
        <v>1869964.6709495895</v>
      </c>
      <c r="K131" s="98">
        <f t="shared" ca="1" si="21"/>
        <v>2067600.8012912287</v>
      </c>
      <c r="L131" s="98">
        <f t="shared" ca="1" si="21"/>
        <v>2278707.5694970745</v>
      </c>
    </row>
    <row r="132" spans="3:12" ht="16.5" customHeight="1">
      <c r="C132" s="95" t="s">
        <v>131</v>
      </c>
      <c r="D132" s="95"/>
      <c r="E132" s="49"/>
      <c r="F132" s="49">
        <v>2207977</v>
      </c>
      <c r="G132" s="49">
        <v>2191161</v>
      </c>
      <c r="H132" s="91">
        <f ca="1">G132-G130+H212+H172</f>
        <v>2167717</v>
      </c>
      <c r="I132" s="91">
        <f ca="1">H132-H130+I212-H212+I172</f>
        <v>2044273</v>
      </c>
      <c r="J132" s="91">
        <f ca="1">I132-I130+J212-I212+J172</f>
        <v>1920829</v>
      </c>
      <c r="K132" s="91">
        <f ca="1">J132-J130+K212-J212+K172</f>
        <v>1747385</v>
      </c>
      <c r="L132" s="91">
        <f ca="1">K132-K130+L212-K212+L172</f>
        <v>1573941</v>
      </c>
    </row>
    <row r="133" spans="3:12" ht="15.75" customHeight="1">
      <c r="C133" s="95" t="s">
        <v>133</v>
      </c>
      <c r="D133" s="95"/>
      <c r="E133" s="49"/>
      <c r="F133" s="49">
        <v>164224</v>
      </c>
      <c r="G133" s="49">
        <v>212365</v>
      </c>
      <c r="H133" s="91">
        <f t="shared" ref="H133:L135" si="22">G133</f>
        <v>212365</v>
      </c>
      <c r="I133" s="91">
        <f t="shared" si="22"/>
        <v>212365</v>
      </c>
      <c r="J133" s="91">
        <f t="shared" si="22"/>
        <v>212365</v>
      </c>
      <c r="K133" s="91">
        <f t="shared" si="22"/>
        <v>212365</v>
      </c>
      <c r="L133" s="91">
        <f t="shared" si="22"/>
        <v>212365</v>
      </c>
    </row>
    <row r="134" spans="3:12" ht="15.75" customHeight="1">
      <c r="C134" s="95" t="s">
        <v>134</v>
      </c>
      <c r="D134" s="95"/>
      <c r="E134" s="49"/>
      <c r="F134" s="49">
        <v>169824</v>
      </c>
      <c r="G134" s="49">
        <v>157206</v>
      </c>
      <c r="H134" s="91">
        <f t="shared" si="22"/>
        <v>157206</v>
      </c>
      <c r="I134" s="91">
        <f t="shared" si="22"/>
        <v>157206</v>
      </c>
      <c r="J134" s="91">
        <f t="shared" si="22"/>
        <v>157206</v>
      </c>
      <c r="K134" s="91">
        <f t="shared" si="22"/>
        <v>157206</v>
      </c>
      <c r="L134" s="91">
        <f t="shared" si="22"/>
        <v>157206</v>
      </c>
    </row>
    <row r="135" spans="3:12" ht="15.75" customHeight="1">
      <c r="C135" s="95" t="s">
        <v>135</v>
      </c>
      <c r="D135" s="95"/>
      <c r="E135" s="49"/>
      <c r="F135" s="49">
        <v>0</v>
      </c>
      <c r="G135" s="49">
        <v>5770</v>
      </c>
      <c r="H135" s="91">
        <f t="shared" si="22"/>
        <v>5770</v>
      </c>
      <c r="I135" s="91">
        <f t="shared" si="22"/>
        <v>5770</v>
      </c>
      <c r="J135" s="91">
        <f t="shared" si="22"/>
        <v>5770</v>
      </c>
      <c r="K135" s="91">
        <f t="shared" si="22"/>
        <v>5770</v>
      </c>
      <c r="L135" s="91">
        <f t="shared" si="22"/>
        <v>5770</v>
      </c>
    </row>
    <row r="136" spans="3:12" ht="15.75" customHeight="1">
      <c r="C136" s="95" t="s">
        <v>136</v>
      </c>
      <c r="D136" s="95"/>
      <c r="E136" s="49"/>
      <c r="F136" s="49">
        <v>24628</v>
      </c>
      <c r="G136" s="49">
        <v>7261</v>
      </c>
      <c r="H136" s="91">
        <f ca="1">G136*(1+H53)</f>
        <v>8335.0608514490359</v>
      </c>
      <c r="I136" s="91">
        <f ca="1">H136*(1+I53)</f>
        <v>9411.6950225536875</v>
      </c>
      <c r="J136" s="91">
        <f ca="1">I136*(1+J53)</f>
        <v>10540.110595885972</v>
      </c>
      <c r="K136" s="91">
        <f ca="1">J136*(1+K53)</f>
        <v>11713.33670323912</v>
      </c>
      <c r="L136" s="91">
        <f ca="1">K136*(1+L53)</f>
        <v>12961.494615039848</v>
      </c>
    </row>
    <row r="137" spans="3:12" ht="15.75" customHeight="1">
      <c r="C137" s="97" t="s">
        <v>137</v>
      </c>
      <c r="D137" s="97"/>
      <c r="E137" s="98"/>
      <c r="F137" s="98">
        <f t="shared" ref="F137:L137" si="23">SUM(F131:F136)</f>
        <v>3840197</v>
      </c>
      <c r="G137" s="98">
        <f t="shared" si="23"/>
        <v>3890100</v>
      </c>
      <c r="H137" s="98">
        <f t="shared" ca="1" si="23"/>
        <v>4049975.3181916084</v>
      </c>
      <c r="I137" s="98">
        <f t="shared" ca="1" si="23"/>
        <v>4110359.968024468</v>
      </c>
      <c r="J137" s="98">
        <f t="shared" ca="1" si="23"/>
        <v>4176674.7815454756</v>
      </c>
      <c r="K137" s="98">
        <f t="shared" ca="1" si="23"/>
        <v>4202040.1379944682</v>
      </c>
      <c r="L137" s="98">
        <f t="shared" ca="1" si="23"/>
        <v>4240951.0641121147</v>
      </c>
    </row>
    <row r="138" spans="3:12" ht="15.75" customHeight="1">
      <c r="C138" s="97" t="s">
        <v>337</v>
      </c>
      <c r="D138" s="97"/>
      <c r="E138" s="98"/>
      <c r="F138" s="49">
        <v>0</v>
      </c>
      <c r="G138" s="49">
        <v>0</v>
      </c>
      <c r="H138" s="102">
        <v>0</v>
      </c>
      <c r="I138" s="102">
        <v>0</v>
      </c>
      <c r="J138" s="102">
        <v>0</v>
      </c>
      <c r="K138" s="102">
        <v>0</v>
      </c>
      <c r="L138" s="102">
        <v>0</v>
      </c>
    </row>
    <row r="139" spans="3:12" ht="16.5" customHeight="1">
      <c r="C139" s="97" t="s">
        <v>139</v>
      </c>
      <c r="D139" s="97"/>
      <c r="E139" s="98"/>
      <c r="F139" s="98"/>
      <c r="G139" s="98"/>
      <c r="H139" s="91"/>
      <c r="I139" s="91"/>
      <c r="J139" s="91"/>
      <c r="K139" s="91"/>
      <c r="L139" s="91"/>
    </row>
    <row r="140" spans="3:12" ht="15.75" customHeight="1">
      <c r="C140" s="89" t="s">
        <v>140</v>
      </c>
      <c r="D140" s="89"/>
      <c r="E140" s="49"/>
      <c r="F140" s="49">
        <v>3345</v>
      </c>
      <c r="G140" s="49">
        <v>3345</v>
      </c>
      <c r="H140" s="91">
        <f>G140</f>
        <v>3345</v>
      </c>
      <c r="I140" s="91">
        <f>H140</f>
        <v>3345</v>
      </c>
      <c r="J140" s="91">
        <f>I140</f>
        <v>3345</v>
      </c>
      <c r="K140" s="91">
        <f>J140</f>
        <v>3345</v>
      </c>
      <c r="L140" s="91">
        <f>K140</f>
        <v>3345</v>
      </c>
    </row>
    <row r="141" spans="3:12" ht="15.75" customHeight="1">
      <c r="C141" s="89" t="s">
        <v>141</v>
      </c>
      <c r="D141" s="89"/>
      <c r="E141" s="49"/>
      <c r="F141" s="49">
        <v>0</v>
      </c>
      <c r="G141" s="49">
        <v>0</v>
      </c>
      <c r="H141" s="91">
        <v>0</v>
      </c>
      <c r="I141" s="91">
        <v>0</v>
      </c>
      <c r="J141" s="91">
        <v>0</v>
      </c>
      <c r="K141" s="91">
        <v>0</v>
      </c>
      <c r="L141" s="91">
        <v>0</v>
      </c>
    </row>
    <row r="142" spans="3:12" ht="15.75" customHeight="1">
      <c r="C142" s="89" t="s">
        <v>142</v>
      </c>
      <c r="D142" s="89"/>
      <c r="E142" s="49"/>
      <c r="F142" s="49">
        <v>3944802</v>
      </c>
      <c r="G142" s="49">
        <v>3958039</v>
      </c>
      <c r="H142" s="91">
        <f>G142+H41</f>
        <v>3971539</v>
      </c>
      <c r="I142" s="91">
        <f>H142+I41</f>
        <v>3985539</v>
      </c>
      <c r="J142" s="91">
        <f>I142+J41</f>
        <v>4000039</v>
      </c>
      <c r="K142" s="91">
        <f>J142+K41</f>
        <v>4015039</v>
      </c>
      <c r="L142" s="91">
        <f>K142+L41</f>
        <v>4030539</v>
      </c>
    </row>
    <row r="143" spans="3:12" ht="15.75" customHeight="1">
      <c r="C143" s="89" t="s">
        <v>143</v>
      </c>
      <c r="D143" s="89"/>
      <c r="E143" s="49"/>
      <c r="F143" s="49">
        <v>-1563321</v>
      </c>
      <c r="G143" s="49">
        <v>-1285904</v>
      </c>
      <c r="H143" s="91">
        <f ca="1">G143+H37</f>
        <v>-879075.45436999993</v>
      </c>
      <c r="I143" s="91">
        <f ca="1">H143+I37</f>
        <v>-364574.35398499994</v>
      </c>
      <c r="J143" s="91">
        <f ca="1">I143+J37</f>
        <v>277501.39534709486</v>
      </c>
      <c r="K143" s="91">
        <f ca="1">J143+K37</f>
        <v>1046618.3321275918</v>
      </c>
      <c r="L143" s="91">
        <f ca="1">K143+L37</f>
        <v>1946564.7448298421</v>
      </c>
    </row>
    <row r="144" spans="3:12" ht="15.75" customHeight="1">
      <c r="C144" s="89" t="s">
        <v>144</v>
      </c>
      <c r="D144" s="89"/>
      <c r="E144" s="101"/>
      <c r="F144" s="49">
        <v>-11422</v>
      </c>
      <c r="G144" s="49">
        <v>-8169</v>
      </c>
      <c r="H144" s="91">
        <f>G144</f>
        <v>-8169</v>
      </c>
      <c r="I144" s="91">
        <f>H144</f>
        <v>-8169</v>
      </c>
      <c r="J144" s="91">
        <f>I144</f>
        <v>-8169</v>
      </c>
      <c r="K144" s="91">
        <f>J144</f>
        <v>-8169</v>
      </c>
      <c r="L144" s="91">
        <f>K144</f>
        <v>-8169</v>
      </c>
    </row>
    <row r="145" spans="2:14" ht="15.75" customHeight="1">
      <c r="C145" s="89" t="s">
        <v>145</v>
      </c>
      <c r="D145" s="89"/>
      <c r="E145" s="49"/>
      <c r="F145" s="49">
        <v>0</v>
      </c>
      <c r="G145" s="49">
        <v>0</v>
      </c>
      <c r="H145" s="91">
        <f ca="1">G145+H169</f>
        <v>-50000</v>
      </c>
      <c r="I145" s="91">
        <f ca="1">H145+I169</f>
        <v>-150000</v>
      </c>
      <c r="J145" s="91">
        <f ca="1">I145+J169</f>
        <v>-250000</v>
      </c>
      <c r="K145" s="91">
        <f ca="1">J145+K169</f>
        <v>-350000</v>
      </c>
      <c r="L145" s="91">
        <f ca="1">K145+L169</f>
        <v>-450000</v>
      </c>
    </row>
    <row r="146" spans="2:14" ht="15.75" customHeight="1">
      <c r="C146" s="93" t="s">
        <v>146</v>
      </c>
      <c r="D146" s="93"/>
      <c r="E146" s="102"/>
      <c r="F146" s="102">
        <f t="shared" ref="F146:L146" si="24">SUM(F140:F145)</f>
        <v>2373404</v>
      </c>
      <c r="G146" s="102">
        <f t="shared" si="24"/>
        <v>2667311</v>
      </c>
      <c r="H146" s="102">
        <f t="shared" ca="1" si="24"/>
        <v>3037639.5456300001</v>
      </c>
      <c r="I146" s="102">
        <f t="shared" ca="1" si="24"/>
        <v>3466140.6460150001</v>
      </c>
      <c r="J146" s="102">
        <f t="shared" ca="1" si="24"/>
        <v>4022716.3953470951</v>
      </c>
      <c r="K146" s="102">
        <f t="shared" ca="1" si="24"/>
        <v>4706833.3321275916</v>
      </c>
      <c r="L146" s="102">
        <f t="shared" ca="1" si="24"/>
        <v>5522279.7448298419</v>
      </c>
    </row>
    <row r="147" spans="2:14" ht="15.75" customHeight="1">
      <c r="C147" s="97" t="s">
        <v>147</v>
      </c>
      <c r="D147" s="97"/>
      <c r="E147" s="91"/>
      <c r="F147" s="91">
        <f t="shared" ref="F147:L147" si="25">SUM(F146,F137)</f>
        <v>6213601</v>
      </c>
      <c r="G147" s="91">
        <f t="shared" si="25"/>
        <v>6557411</v>
      </c>
      <c r="H147" s="91">
        <f t="shared" ca="1" si="25"/>
        <v>7087614.8638216089</v>
      </c>
      <c r="I147" s="91">
        <f t="shared" ca="1" si="25"/>
        <v>7576500.6140394676</v>
      </c>
      <c r="J147" s="91">
        <f t="shared" ca="1" si="25"/>
        <v>8199391.1768925712</v>
      </c>
      <c r="K147" s="91">
        <f t="shared" ca="1" si="25"/>
        <v>8908873.4701220598</v>
      </c>
      <c r="L147" s="91">
        <f t="shared" ca="1" si="25"/>
        <v>9763230.8089419566</v>
      </c>
    </row>
    <row r="148" spans="2:14" ht="15.75" customHeight="1">
      <c r="C148" s="97"/>
      <c r="D148" s="97"/>
      <c r="E148" s="91"/>
      <c r="F148" s="91"/>
      <c r="G148" s="91"/>
    </row>
    <row r="149" spans="2:14" ht="15.75" customHeight="1">
      <c r="C149" s="60" t="s">
        <v>148</v>
      </c>
      <c r="D149" s="60"/>
      <c r="E149" s="103"/>
      <c r="F149" s="103">
        <f t="shared" ref="F149:L149" si="26">F120-F147</f>
        <v>0</v>
      </c>
      <c r="G149" s="103">
        <f t="shared" si="26"/>
        <v>0</v>
      </c>
      <c r="H149" s="103">
        <f t="shared" ca="1" si="26"/>
        <v>0</v>
      </c>
      <c r="I149" s="103">
        <f t="shared" ca="1" si="26"/>
        <v>0</v>
      </c>
      <c r="J149" s="103">
        <f t="shared" ca="1" si="26"/>
        <v>0</v>
      </c>
      <c r="K149" s="103">
        <f t="shared" ca="1" si="26"/>
        <v>0</v>
      </c>
      <c r="L149" s="103">
        <f t="shared" ca="1" si="26"/>
        <v>0</v>
      </c>
    </row>
    <row r="150" spans="2:14" ht="15.75" customHeight="1">
      <c r="F150" s="91"/>
      <c r="G150" s="91"/>
      <c r="I150" s="91"/>
      <c r="J150" s="91"/>
      <c r="K150" s="91"/>
      <c r="L150" s="91"/>
    </row>
    <row r="151" spans="2:14" ht="15.75" customHeight="1">
      <c r="B151" t="s">
        <v>0</v>
      </c>
      <c r="C151" s="57" t="s">
        <v>149</v>
      </c>
      <c r="D151" s="57"/>
      <c r="E151" s="31"/>
      <c r="F151" s="31"/>
      <c r="G151" s="31"/>
      <c r="H151" s="31"/>
      <c r="I151" s="31"/>
      <c r="J151" s="31"/>
      <c r="K151" s="31"/>
      <c r="L151" s="31"/>
    </row>
    <row r="152" spans="2:14" ht="15.75" customHeight="1">
      <c r="C152" s="79" t="str">
        <f>C18</f>
        <v xml:space="preserve">Fiscal year  </v>
      </c>
      <c r="D152" s="79"/>
      <c r="E152" s="81"/>
      <c r="F152" s="81"/>
      <c r="G152" s="81"/>
      <c r="H152" s="83">
        <f t="shared" ref="H152:L153" si="27">H18</f>
        <v>2026</v>
      </c>
      <c r="I152" s="83">
        <f t="shared" si="27"/>
        <v>2027</v>
      </c>
      <c r="J152" s="83">
        <f t="shared" si="27"/>
        <v>2028</v>
      </c>
      <c r="K152" s="83">
        <f t="shared" si="27"/>
        <v>2029</v>
      </c>
      <c r="L152" s="83">
        <f t="shared" si="27"/>
        <v>2030</v>
      </c>
    </row>
    <row r="153" spans="2:14" ht="15.75" customHeight="1">
      <c r="C153" s="6" t="str">
        <f>C19</f>
        <v>Fiscal year end date</v>
      </c>
      <c r="D153" s="6"/>
      <c r="E153" s="85"/>
      <c r="F153" s="85"/>
      <c r="G153" s="85"/>
      <c r="H153" s="85">
        <f t="shared" si="27"/>
        <v>46387</v>
      </c>
      <c r="I153" s="85">
        <f t="shared" si="27"/>
        <v>46752</v>
      </c>
      <c r="J153" s="85">
        <f t="shared" si="27"/>
        <v>47118</v>
      </c>
      <c r="K153" s="85">
        <f t="shared" si="27"/>
        <v>47483</v>
      </c>
      <c r="L153" s="85">
        <f t="shared" si="27"/>
        <v>47848</v>
      </c>
    </row>
    <row r="155" spans="2:14" ht="15.75" customHeight="1">
      <c r="C155" t="s">
        <v>81</v>
      </c>
      <c r="E155" s="104"/>
      <c r="F155" s="104"/>
      <c r="G155" s="104"/>
      <c r="H155" s="91">
        <f ca="1">H37</f>
        <v>406828.54563000012</v>
      </c>
      <c r="I155" s="91">
        <f ca="1">I37</f>
        <v>514501.100385</v>
      </c>
      <c r="J155" s="91">
        <f ca="1">J37</f>
        <v>642075.7493320948</v>
      </c>
      <c r="K155" s="91">
        <f ca="1">K37</f>
        <v>769116.93678049697</v>
      </c>
      <c r="L155" s="91">
        <f ca="1">L37</f>
        <v>899946.41270225029</v>
      </c>
      <c r="N155" s="72"/>
    </row>
    <row r="156" spans="2:14" ht="15.75" customHeight="1">
      <c r="C156" t="s">
        <v>150</v>
      </c>
      <c r="E156" s="104"/>
      <c r="F156" s="104"/>
      <c r="G156" s="104"/>
      <c r="H156" s="91">
        <f ca="1">H39</f>
        <v>193053.32600611763</v>
      </c>
      <c r="I156" s="91">
        <f ca="1">I39</f>
        <v>192030.7667549029</v>
      </c>
      <c r="J156" s="91">
        <f ca="1">J39</f>
        <v>200169.20950052125</v>
      </c>
      <c r="K156" s="91">
        <f ca="1">K39</f>
        <v>207074.74759428744</v>
      </c>
      <c r="L156" s="91">
        <f ca="1">L39</f>
        <v>216765.23894484044</v>
      </c>
    </row>
    <row r="157" spans="2:14" ht="15.75" customHeight="1">
      <c r="C157" t="s">
        <v>85</v>
      </c>
      <c r="E157" s="104"/>
      <c r="F157" s="104"/>
      <c r="G157" s="104"/>
      <c r="H157" s="91">
        <f>H41</f>
        <v>13500</v>
      </c>
      <c r="I157" s="91">
        <f>I41</f>
        <v>14000</v>
      </c>
      <c r="J157" s="91">
        <f>J41</f>
        <v>14500</v>
      </c>
      <c r="K157" s="91">
        <f>K41</f>
        <v>15000</v>
      </c>
      <c r="L157" s="91">
        <f>L41</f>
        <v>15500</v>
      </c>
    </row>
    <row r="158" spans="2:14" ht="15.75" customHeight="1">
      <c r="C158" t="s">
        <v>152</v>
      </c>
      <c r="E158" s="91"/>
      <c r="F158" s="91"/>
      <c r="G158" s="91"/>
      <c r="H158" s="91">
        <f ca="1">G107+G108+G109+G110-H107-H108-H109-H110</f>
        <v>-379664.04540324165</v>
      </c>
      <c r="I158" s="91">
        <f ca="1">H107+H108+H109+H110-I107-I108-I109-I110</f>
        <v>-380659.05356198456</v>
      </c>
      <c r="J158" s="91">
        <f ca="1">I107+I108+I109+I110-J107-J108-J109-J110</f>
        <v>-395422.42223468091</v>
      </c>
      <c r="K158" s="91">
        <f ca="1">J107+J108+J109+J110-K107-K108-K109-K110</f>
        <v>-412969.74814870069</v>
      </c>
      <c r="L158" s="91">
        <f ca="1">K107+K108+K109+K110-L107-L108-L109-L110</f>
        <v>-440377.87130725052</v>
      </c>
    </row>
    <row r="159" spans="2:14" ht="15.75" customHeight="1">
      <c r="C159" t="s">
        <v>153</v>
      </c>
      <c r="E159" s="91"/>
      <c r="F159" s="91"/>
      <c r="G159" s="91"/>
      <c r="H159" s="91">
        <f ca="1">H123+H124+H125+H128-G123-G124-G125-G128</f>
        <v>182245.25734015927</v>
      </c>
      <c r="I159" s="91">
        <f ca="1">I123+I124+I125+I128-H123-H124-H125-H128</f>
        <v>182752.01566175511</v>
      </c>
      <c r="J159" s="91">
        <f ca="1">J123+J124+J125+J128-I123-I124-I125-I128</f>
        <v>188630.3979476752</v>
      </c>
      <c r="K159" s="91">
        <f ca="1">K123+K124+K125+K128-J123-J124-J125-J128</f>
        <v>197636.13034163928</v>
      </c>
      <c r="L159" s="91">
        <f ca="1">L123+L124+L125+L128-K123-K124-K125-K128</f>
        <v>211106.76820584608</v>
      </c>
    </row>
    <row r="160" spans="2:14" ht="15.75" customHeight="1">
      <c r="C160" t="s">
        <v>117</v>
      </c>
      <c r="H160" s="91">
        <f ca="1">-H119+G119</f>
        <v>-951.72944748975351</v>
      </c>
      <c r="I160" s="91">
        <f ca="1">-I119+H119</f>
        <v>-954.00967592443521</v>
      </c>
      <c r="J160" s="91">
        <f ca="1">-J119+I119</f>
        <v>-999.89337540557972</v>
      </c>
      <c r="K160" s="91">
        <f ca="1">-K119+J119</f>
        <v>-1039.6001617835227</v>
      </c>
      <c r="L160" s="91">
        <f ca="1">-L119+K119</f>
        <v>-1105.9975216259299</v>
      </c>
    </row>
    <row r="161" spans="2:14" ht="15.75" customHeight="1">
      <c r="C161" t="s">
        <v>136</v>
      </c>
      <c r="H161" s="91">
        <f ca="1">H136-G136</f>
        <v>1074.0608514490359</v>
      </c>
      <c r="I161" s="91">
        <f ca="1">I136-H136</f>
        <v>1076.6341711046516</v>
      </c>
      <c r="J161" s="91">
        <f ca="1">J136-I136</f>
        <v>1128.4155733322841</v>
      </c>
      <c r="K161" s="91">
        <f ca="1">K136-J136</f>
        <v>1173.2261073531481</v>
      </c>
      <c r="L161" s="91">
        <f ca="1">L136-K136</f>
        <v>1248.1579118007285</v>
      </c>
      <c r="N161" s="72"/>
    </row>
    <row r="162" spans="2:14" ht="15.75" customHeight="1">
      <c r="C162" s="72" t="s">
        <v>154</v>
      </c>
      <c r="D162" s="72"/>
      <c r="H162" s="102">
        <f ca="1">SUM(H155:H161)</f>
        <v>416085.41497699468</v>
      </c>
      <c r="I162" s="102">
        <f ca="1">SUM(I155:I161)</f>
        <v>522747.45373485365</v>
      </c>
      <c r="J162" s="102">
        <f ca="1">SUM(J155:J161)</f>
        <v>650081.45674353698</v>
      </c>
      <c r="K162" s="102">
        <f ca="1">SUM(K155:K161)</f>
        <v>775991.69251329254</v>
      </c>
      <c r="L162" s="102">
        <f ca="1">SUM(L155:L161)</f>
        <v>903082.70893586101</v>
      </c>
    </row>
    <row r="163" spans="2:14" ht="15.75" customHeight="1">
      <c r="C163" t="s">
        <v>155</v>
      </c>
      <c r="H163" s="54">
        <f ca="1">-H85</f>
        <v>0</v>
      </c>
      <c r="I163" s="54">
        <f ca="1">-I85</f>
        <v>-75000</v>
      </c>
      <c r="J163" s="54">
        <f ca="1">-J85</f>
        <v>-75000</v>
      </c>
      <c r="K163" s="54">
        <f ca="1">-K85</f>
        <v>-100000</v>
      </c>
      <c r="L163" s="54">
        <f ca="1">-L85</f>
        <v>-100000</v>
      </c>
      <c r="N163" t="s">
        <v>156</v>
      </c>
    </row>
    <row r="164" spans="2:14" ht="15.75" customHeight="1">
      <c r="C164" t="s">
        <v>157</v>
      </c>
      <c r="H164" s="91">
        <f ca="1">-H180</f>
        <v>-94588.763828591196</v>
      </c>
      <c r="I164" s="91">
        <f ca="1">-I180</f>
        <v>-106806.73045839745</v>
      </c>
      <c r="J164" s="91">
        <f ca="1">-J180</f>
        <v>-119612.32793017547</v>
      </c>
      <c r="K164" s="91">
        <f ca="1">-K180</f>
        <v>-132926.44874630266</v>
      </c>
      <c r="L164" s="91">
        <f ca="1">-L180</f>
        <v>-147090.91809382779</v>
      </c>
    </row>
    <row r="165" spans="2:14" ht="15.75" customHeight="1">
      <c r="C165" s="72" t="s">
        <v>158</v>
      </c>
      <c r="D165" s="72"/>
      <c r="H165" s="102">
        <f ca="1">H164+H163+H166</f>
        <v>-121588.7638285912</v>
      </c>
      <c r="I165" s="102">
        <f ca="1">I164+I163+I166</f>
        <v>-208806.73045839745</v>
      </c>
      <c r="J165" s="102">
        <f ca="1">J164+J163+J166</f>
        <v>-221612.32793017547</v>
      </c>
      <c r="K165" s="102">
        <f ca="1">K164+K163+K166</f>
        <v>-259926.44874630266</v>
      </c>
      <c r="L165" s="102">
        <f ca="1">L164+L163+L166</f>
        <v>-274090.91809382779</v>
      </c>
    </row>
    <row r="166" spans="2:14" ht="15.75" customHeight="1">
      <c r="C166" t="s">
        <v>159</v>
      </c>
      <c r="H166" s="49">
        <v>-27000</v>
      </c>
      <c r="I166" s="49">
        <v>-27000</v>
      </c>
      <c r="J166" s="49">
        <v>-27000</v>
      </c>
      <c r="K166" s="49">
        <v>-27000</v>
      </c>
      <c r="L166" s="49">
        <v>-27000</v>
      </c>
      <c r="N166" t="s">
        <v>160</v>
      </c>
    </row>
    <row r="167" spans="2:14" ht="15.75" customHeight="1">
      <c r="C167" t="s">
        <v>131</v>
      </c>
      <c r="H167" s="91">
        <f>-H130</f>
        <v>-23444</v>
      </c>
      <c r="I167" s="91">
        <f>-I130</f>
        <v>-23444</v>
      </c>
      <c r="J167" s="91">
        <f>-J130</f>
        <v>-23444</v>
      </c>
      <c r="K167" s="91">
        <f>-K130</f>
        <v>-23444</v>
      </c>
      <c r="L167" s="91">
        <f>-L130</f>
        <v>-23444</v>
      </c>
    </row>
    <row r="168" spans="2:14" ht="15.75" customHeight="1">
      <c r="C168" t="s">
        <v>138</v>
      </c>
      <c r="H168" s="91">
        <v>0</v>
      </c>
      <c r="I168" s="91">
        <v>0</v>
      </c>
      <c r="J168" s="91">
        <v>0</v>
      </c>
      <c r="K168" s="91">
        <v>0</v>
      </c>
      <c r="L168" s="91">
        <v>0</v>
      </c>
    </row>
    <row r="169" spans="2:14" ht="18" customHeight="1">
      <c r="C169" t="s">
        <v>161</v>
      </c>
      <c r="G169" s="289"/>
      <c r="H169" s="54">
        <f ca="1">-H90</f>
        <v>-50000</v>
      </c>
      <c r="I169" s="54">
        <f ca="1">-I90</f>
        <v>-100000</v>
      </c>
      <c r="J169" s="54">
        <f ca="1">-J90</f>
        <v>-100000</v>
      </c>
      <c r="K169" s="54">
        <f ca="1">-K90</f>
        <v>-100000</v>
      </c>
      <c r="L169" s="54">
        <f ca="1">-L90</f>
        <v>-100000</v>
      </c>
      <c r="N169" t="s">
        <v>162</v>
      </c>
    </row>
    <row r="170" spans="2:14" ht="15.75" customHeight="1">
      <c r="C170" t="s">
        <v>163</v>
      </c>
      <c r="H170" s="91">
        <v>0</v>
      </c>
      <c r="I170" s="91">
        <v>0</v>
      </c>
      <c r="J170" s="91">
        <v>0</v>
      </c>
      <c r="K170" s="91">
        <v>0</v>
      </c>
      <c r="L170" s="91">
        <v>0</v>
      </c>
    </row>
    <row r="171" spans="2:14" ht="15.75" customHeight="1">
      <c r="C171" s="72" t="s">
        <v>164</v>
      </c>
      <c r="D171" s="72"/>
      <c r="H171" s="91">
        <f ca="1">SUM(H167:H170)+H172</f>
        <v>-73444</v>
      </c>
      <c r="I171" s="91">
        <f ca="1">SUM(I167:I170)+I172</f>
        <v>-223444</v>
      </c>
      <c r="J171" s="91">
        <f ca="1">SUM(J167:J170)+J172</f>
        <v>-223444</v>
      </c>
      <c r="K171" s="91">
        <f ca="1">SUM(K167:K170)+K172</f>
        <v>-273444</v>
      </c>
      <c r="L171" s="91">
        <f ca="1">SUM(L167:L170)+L172</f>
        <v>-273444</v>
      </c>
    </row>
    <row r="172" spans="2:14" ht="15.75" customHeight="1">
      <c r="C172" t="s">
        <v>165</v>
      </c>
      <c r="H172" s="54">
        <f ca="1">-H95</f>
        <v>0</v>
      </c>
      <c r="I172" s="54">
        <f ca="1">-I95</f>
        <v>-100000</v>
      </c>
      <c r="J172" s="54">
        <f ca="1">-J95</f>
        <v>-100000</v>
      </c>
      <c r="K172" s="54">
        <f ca="1">-K95</f>
        <v>-150000</v>
      </c>
      <c r="L172" s="54">
        <f ca="1">-L95</f>
        <v>-150000</v>
      </c>
      <c r="N172" t="s">
        <v>166</v>
      </c>
    </row>
    <row r="173" spans="2:14" ht="15.75" customHeight="1">
      <c r="C173" s="72" t="s">
        <v>167</v>
      </c>
      <c r="D173" s="72"/>
      <c r="H173" s="98">
        <f ca="1">H162+H165+H171</f>
        <v>221052.65114840347</v>
      </c>
      <c r="I173" s="98">
        <f ca="1">I162+I165+I171</f>
        <v>90496.723276456236</v>
      </c>
      <c r="J173" s="98">
        <f ca="1">J162+J165+J171</f>
        <v>205025.12881336152</v>
      </c>
      <c r="K173" s="98">
        <f ca="1">K162+K165+K171</f>
        <v>242621.24376698991</v>
      </c>
      <c r="L173" s="98">
        <f ca="1">L162+L165+L171</f>
        <v>355547.79084203322</v>
      </c>
    </row>
    <row r="175" spans="2:14" ht="15.75" customHeight="1">
      <c r="B175" t="s">
        <v>0</v>
      </c>
      <c r="C175" s="57" t="s">
        <v>168</v>
      </c>
      <c r="D175" s="57"/>
      <c r="E175" s="6"/>
      <c r="F175" s="6"/>
      <c r="G175" s="6"/>
      <c r="H175" s="6"/>
      <c r="I175" s="6"/>
      <c r="J175" s="6"/>
      <c r="K175" s="6"/>
      <c r="L175" s="6"/>
    </row>
    <row r="176" spans="2:14" ht="15.75" customHeight="1">
      <c r="C176" s="79" t="str">
        <f>C18</f>
        <v xml:space="preserve">Fiscal year  </v>
      </c>
      <c r="D176" s="79"/>
      <c r="E176" s="81">
        <f t="shared" ref="E176:L177" si="28">E18</f>
        <v>2023</v>
      </c>
      <c r="F176" s="81">
        <f t="shared" si="28"/>
        <v>2024</v>
      </c>
      <c r="G176" s="81">
        <f t="shared" si="28"/>
        <v>2025</v>
      </c>
      <c r="H176" s="83">
        <f t="shared" si="28"/>
        <v>2026</v>
      </c>
      <c r="I176" s="83">
        <f t="shared" si="28"/>
        <v>2027</v>
      </c>
      <c r="J176" s="83">
        <f t="shared" si="28"/>
        <v>2028</v>
      </c>
      <c r="K176" s="83">
        <f t="shared" si="28"/>
        <v>2029</v>
      </c>
      <c r="L176" s="83">
        <f t="shared" si="28"/>
        <v>2030</v>
      </c>
    </row>
    <row r="177" spans="2:16" ht="15.75" customHeight="1">
      <c r="C177" s="6" t="str">
        <f>C19</f>
        <v>Fiscal year end date</v>
      </c>
      <c r="D177" s="6"/>
      <c r="E177" s="85">
        <f t="shared" si="28"/>
        <v>45291</v>
      </c>
      <c r="F177" s="85">
        <f t="shared" si="28"/>
        <v>45657</v>
      </c>
      <c r="G177" s="85">
        <f t="shared" si="28"/>
        <v>46022</v>
      </c>
      <c r="H177" s="85">
        <f t="shared" si="28"/>
        <v>46387</v>
      </c>
      <c r="I177" s="85">
        <f t="shared" si="28"/>
        <v>46752</v>
      </c>
      <c r="J177" s="85">
        <f t="shared" si="28"/>
        <v>47118</v>
      </c>
      <c r="K177" s="85">
        <f t="shared" si="28"/>
        <v>47483</v>
      </c>
      <c r="L177" s="85">
        <f t="shared" si="28"/>
        <v>47848</v>
      </c>
    </row>
    <row r="178" spans="2:16" ht="15.75" customHeight="1">
      <c r="C178" s="72"/>
      <c r="D178" s="72"/>
      <c r="H178" s="306" t="s">
        <v>169</v>
      </c>
      <c r="I178" s="306"/>
      <c r="J178" s="306"/>
      <c r="K178" s="306"/>
      <c r="L178" s="306"/>
    </row>
    <row r="179" spans="2:16" ht="15.75" customHeight="1">
      <c r="C179" s="95" t="s">
        <v>170</v>
      </c>
      <c r="D179" s="95"/>
      <c r="G179" s="91">
        <f>F113</f>
        <v>568607</v>
      </c>
      <c r="H179" s="91">
        <f>G182</f>
        <v>579971</v>
      </c>
      <c r="I179" s="91">
        <f ca="1">H182</f>
        <v>602929.43782247358</v>
      </c>
      <c r="J179" s="91">
        <f ca="1">I182</f>
        <v>628853.4015259681</v>
      </c>
      <c r="K179" s="91">
        <f ca="1">J182</f>
        <v>657885.51995562238</v>
      </c>
      <c r="L179" s="91">
        <f ca="1">K182</f>
        <v>690149.22110763751</v>
      </c>
    </row>
    <row r="180" spans="2:16" ht="15.75" customHeight="1">
      <c r="C180" s="44" t="s">
        <v>171</v>
      </c>
      <c r="D180" s="44"/>
      <c r="E180" s="49"/>
      <c r="F180" s="49"/>
      <c r="G180" s="109">
        <v>82400</v>
      </c>
      <c r="H180" s="54">
        <f ca="1">($G$180/$G$23)*H23</f>
        <v>94588.763828591196</v>
      </c>
      <c r="I180" s="54">
        <f ca="1">($G$180/$G$23)*I23</f>
        <v>106806.73045839745</v>
      </c>
      <c r="J180" s="54">
        <f ca="1">($G$180/$G$23)*J23</f>
        <v>119612.32793017547</v>
      </c>
      <c r="K180" s="54">
        <f ca="1">($G$180/$G$23)*K23</f>
        <v>132926.44874630266</v>
      </c>
      <c r="L180" s="54">
        <f ca="1">($G$180/$G$23)*L23</f>
        <v>147090.91809382779</v>
      </c>
      <c r="N180" t="s">
        <v>172</v>
      </c>
    </row>
    <row r="181" spans="2:16" ht="15.75" customHeight="1">
      <c r="C181" s="108" t="s">
        <v>173</v>
      </c>
      <c r="D181" s="108"/>
      <c r="E181" s="109"/>
      <c r="F181" s="109"/>
      <c r="G181" s="109">
        <v>-62400</v>
      </c>
      <c r="H181" s="110">
        <f ca="1">-H180*H184</f>
        <v>-71630.326006117612</v>
      </c>
      <c r="I181" s="110">
        <f ca="1">-I180*I184</f>
        <v>-80882.766754902914</v>
      </c>
      <c r="J181" s="110">
        <f ca="1">-J180*J184</f>
        <v>-90580.209500521232</v>
      </c>
      <c r="K181" s="110">
        <f ca="1">-K180*K184</f>
        <v>-100662.74759428744</v>
      </c>
      <c r="L181" s="110">
        <f ca="1">-L180*L184</f>
        <v>-111389.23894484046</v>
      </c>
      <c r="N181" t="s">
        <v>174</v>
      </c>
    </row>
    <row r="182" spans="2:16" ht="15.75" customHeight="1">
      <c r="C182" s="111" t="s">
        <v>175</v>
      </c>
      <c r="D182" s="111"/>
      <c r="E182" s="102"/>
      <c r="F182" s="102"/>
      <c r="G182" s="102">
        <f>G113</f>
        <v>579971</v>
      </c>
      <c r="H182" s="102">
        <f ca="1">SUM(H179:H181)</f>
        <v>602929.43782247358</v>
      </c>
      <c r="I182" s="102">
        <f ca="1">SUM(I179:I181)</f>
        <v>628853.4015259681</v>
      </c>
      <c r="J182" s="102">
        <f ca="1">SUM(J179:J181)</f>
        <v>657885.51995562238</v>
      </c>
      <c r="K182" s="102">
        <f ca="1">SUM(K179:K181)</f>
        <v>690149.22110763751</v>
      </c>
      <c r="L182" s="102">
        <f ca="1">SUM(L179:L181)</f>
        <v>725850.90025662479</v>
      </c>
    </row>
    <row r="183" spans="2:16" ht="15.75" customHeight="1">
      <c r="C183" s="95"/>
      <c r="D183" s="95"/>
      <c r="N183" s="26"/>
    </row>
    <row r="184" spans="2:16" ht="16.5" customHeight="1">
      <c r="C184" s="95" t="s">
        <v>176</v>
      </c>
      <c r="D184" s="95"/>
      <c r="E184" s="112"/>
      <c r="F184" s="112"/>
      <c r="G184" s="113">
        <f>-G181/G180</f>
        <v>0.75728155339805825</v>
      </c>
      <c r="H184" s="42">
        <f>G184</f>
        <v>0.75728155339805825</v>
      </c>
      <c r="I184" s="42">
        <f>H184</f>
        <v>0.75728155339805825</v>
      </c>
      <c r="J184" s="42">
        <f>I184</f>
        <v>0.75728155339805825</v>
      </c>
      <c r="K184" s="42">
        <f>J184</f>
        <v>0.75728155339805825</v>
      </c>
      <c r="L184" s="42">
        <f>K184</f>
        <v>0.75728155339805825</v>
      </c>
    </row>
    <row r="185" spans="2:16" ht="15.75" customHeight="1">
      <c r="C185" s="95"/>
      <c r="D185" s="95"/>
      <c r="E185" s="112"/>
      <c r="F185" s="112"/>
      <c r="G185" s="112"/>
      <c r="H185" s="42"/>
      <c r="I185" s="42"/>
      <c r="J185" s="42"/>
      <c r="K185" s="42"/>
      <c r="L185" s="42"/>
      <c r="P185" s="114"/>
    </row>
    <row r="186" spans="2:16" ht="15.75" customHeight="1">
      <c r="B186" t="s">
        <v>0</v>
      </c>
      <c r="C186" s="115" t="s">
        <v>177</v>
      </c>
      <c r="D186" s="115"/>
      <c r="E186" s="116"/>
      <c r="F186" s="116"/>
      <c r="G186" s="116"/>
      <c r="H186" s="117"/>
      <c r="I186" s="117"/>
      <c r="J186" s="117"/>
      <c r="K186" s="117"/>
      <c r="L186" s="117"/>
      <c r="P186" s="114"/>
    </row>
    <row r="187" spans="2:16" ht="15.75" customHeight="1">
      <c r="C187" s="95" t="s">
        <v>178</v>
      </c>
      <c r="D187" s="95"/>
      <c r="E187" s="91"/>
      <c r="F187" s="91"/>
      <c r="G187" s="49">
        <f>G39+G181</f>
        <v>131264</v>
      </c>
      <c r="H187" s="49">
        <v>121423</v>
      </c>
      <c r="I187" s="49">
        <v>111148</v>
      </c>
      <c r="J187" s="49">
        <v>109589</v>
      </c>
      <c r="K187" s="49">
        <v>106412</v>
      </c>
      <c r="L187" s="49">
        <v>105376</v>
      </c>
      <c r="N187" t="s">
        <v>179</v>
      </c>
      <c r="P187" s="114"/>
    </row>
    <row r="188" spans="2:16" ht="15.75" customHeight="1">
      <c r="C188" s="44" t="s">
        <v>180</v>
      </c>
      <c r="D188" s="44"/>
      <c r="E188" s="118"/>
      <c r="F188" s="118"/>
      <c r="G188" s="118"/>
      <c r="H188" s="42">
        <f ca="1">H187/H23</f>
        <v>1.7447612588722839E-2</v>
      </c>
      <c r="I188" s="42">
        <f ca="1">I187/I23</f>
        <v>1.4144175359945249E-2</v>
      </c>
      <c r="J188" s="42">
        <f ca="1">J187/J23</f>
        <v>1.245276010153025E-2</v>
      </c>
      <c r="K188" s="42">
        <f ca="1">K187/K23</f>
        <v>1.0880624029863157E-2</v>
      </c>
      <c r="L188" s="42">
        <f ca="1">L187/L23</f>
        <v>9.7371183972174528E-3</v>
      </c>
      <c r="P188" s="114"/>
    </row>
    <row r="189" spans="2:16" ht="15.75" customHeight="1">
      <c r="C189" s="97" t="s">
        <v>181</v>
      </c>
      <c r="D189" s="97"/>
      <c r="E189" s="102"/>
      <c r="F189" s="102"/>
      <c r="G189" s="102"/>
      <c r="H189" s="98">
        <f ca="1">H187-H181</f>
        <v>193053.32600611763</v>
      </c>
      <c r="I189" s="98">
        <f ca="1">I187-I181</f>
        <v>192030.7667549029</v>
      </c>
      <c r="J189" s="98">
        <f ca="1">J187-J181</f>
        <v>200169.20950052125</v>
      </c>
      <c r="K189" s="98">
        <f ca="1">K187-K181</f>
        <v>207074.74759428744</v>
      </c>
      <c r="L189" s="98">
        <f ca="1">L187-L181</f>
        <v>216765.23894484044</v>
      </c>
      <c r="P189" s="114"/>
    </row>
    <row r="190" spans="2:16" ht="15.75" customHeight="1">
      <c r="I190" s="91"/>
      <c r="J190" s="91"/>
      <c r="K190" s="91"/>
      <c r="L190" s="91"/>
    </row>
    <row r="191" spans="2:16" ht="15.75" customHeight="1">
      <c r="B191" t="s">
        <v>0</v>
      </c>
      <c r="C191" s="119" t="s">
        <v>182</v>
      </c>
      <c r="D191" s="119"/>
      <c r="E191" s="120"/>
      <c r="F191" s="120"/>
      <c r="G191" s="120"/>
      <c r="H191" s="121">
        <f>H18</f>
        <v>2026</v>
      </c>
      <c r="I191" s="121">
        <f>I18</f>
        <v>2027</v>
      </c>
      <c r="J191" s="121">
        <f>J18</f>
        <v>2028</v>
      </c>
      <c r="K191" s="121">
        <f>K18</f>
        <v>2029</v>
      </c>
      <c r="L191" s="121">
        <f>L18</f>
        <v>2030</v>
      </c>
    </row>
    <row r="192" spans="2:16" ht="15.75" customHeight="1">
      <c r="C192" s="95" t="s">
        <v>170</v>
      </c>
      <c r="D192" s="95"/>
      <c r="G192" s="91">
        <f>F143</f>
        <v>-1563321</v>
      </c>
      <c r="H192" s="91">
        <f>G196</f>
        <v>-1285905</v>
      </c>
      <c r="I192" s="91">
        <f ca="1">H196</f>
        <v>-879076.45436999993</v>
      </c>
      <c r="J192" s="91">
        <f ca="1">I196</f>
        <v>-364575.35398499994</v>
      </c>
      <c r="K192" s="91">
        <f ca="1">J196</f>
        <v>277500.39534709486</v>
      </c>
      <c r="L192" s="91">
        <f ca="1">K196</f>
        <v>1046617.3321275918</v>
      </c>
    </row>
    <row r="193" spans="2:12" ht="15.75" customHeight="1">
      <c r="C193" s="44" t="s">
        <v>183</v>
      </c>
      <c r="D193" s="44"/>
      <c r="E193" s="101"/>
      <c r="F193" s="101"/>
      <c r="G193" s="91">
        <f t="shared" ref="G193:L193" si="29">G37</f>
        <v>277416</v>
      </c>
      <c r="H193" s="91">
        <f t="shared" ca="1" si="29"/>
        <v>406828.54563000012</v>
      </c>
      <c r="I193" s="91">
        <f t="shared" ca="1" si="29"/>
        <v>514501.100385</v>
      </c>
      <c r="J193" s="91">
        <f t="shared" ca="1" si="29"/>
        <v>642075.7493320948</v>
      </c>
      <c r="K193" s="91">
        <f t="shared" ca="1" si="29"/>
        <v>769116.93678049697</v>
      </c>
      <c r="L193" s="91">
        <f t="shared" ca="1" si="29"/>
        <v>899946.41270225029</v>
      </c>
    </row>
    <row r="194" spans="2:12" ht="15.75" customHeight="1">
      <c r="C194" s="44" t="s">
        <v>184</v>
      </c>
      <c r="D194" s="44"/>
      <c r="E194" s="49"/>
      <c r="F194" s="49"/>
      <c r="G194" s="91">
        <f t="shared" ref="G194:L194" si="30">-G170</f>
        <v>0</v>
      </c>
      <c r="H194" s="91">
        <f t="shared" si="30"/>
        <v>0</v>
      </c>
      <c r="I194" s="91">
        <f t="shared" si="30"/>
        <v>0</v>
      </c>
      <c r="J194" s="91">
        <f t="shared" si="30"/>
        <v>0</v>
      </c>
      <c r="K194" s="91">
        <f t="shared" si="30"/>
        <v>0</v>
      </c>
      <c r="L194" s="91">
        <f t="shared" si="30"/>
        <v>0</v>
      </c>
    </row>
    <row r="195" spans="2:12" ht="15.75" customHeight="1">
      <c r="C195" s="108" t="s">
        <v>185</v>
      </c>
      <c r="D195" s="108"/>
      <c r="E195" s="109"/>
      <c r="F195" s="109"/>
      <c r="G195" s="110">
        <v>0</v>
      </c>
      <c r="H195" s="110">
        <v>0</v>
      </c>
      <c r="I195" s="110">
        <v>0</v>
      </c>
      <c r="J195" s="110">
        <v>0</v>
      </c>
      <c r="K195" s="110">
        <v>0</v>
      </c>
      <c r="L195" s="110">
        <v>0</v>
      </c>
    </row>
    <row r="196" spans="2:12" ht="15.75" customHeight="1">
      <c r="C196" s="111" t="s">
        <v>175</v>
      </c>
      <c r="D196" s="111"/>
      <c r="E196" s="98"/>
      <c r="F196" s="98"/>
      <c r="G196" s="98">
        <f t="shared" ref="G196:L196" si="31">SUM(G192:G195)</f>
        <v>-1285905</v>
      </c>
      <c r="H196" s="98">
        <f t="shared" ca="1" si="31"/>
        <v>-879076.45436999993</v>
      </c>
      <c r="I196" s="98">
        <f t="shared" ca="1" si="31"/>
        <v>-364575.35398499994</v>
      </c>
      <c r="J196" s="98">
        <f t="shared" ca="1" si="31"/>
        <v>277500.39534709486</v>
      </c>
      <c r="K196" s="98">
        <f t="shared" ca="1" si="31"/>
        <v>1046617.3321275918</v>
      </c>
      <c r="L196" s="98">
        <f t="shared" ca="1" si="31"/>
        <v>1946563.7448298421</v>
      </c>
    </row>
    <row r="197" spans="2:12" ht="15.75" customHeight="1">
      <c r="F197" s="104"/>
      <c r="G197" s="104"/>
    </row>
    <row r="198" spans="2:12" ht="15.75" customHeight="1">
      <c r="B198" t="s">
        <v>0</v>
      </c>
      <c r="C198" s="57" t="s">
        <v>186</v>
      </c>
      <c r="D198" s="57"/>
      <c r="E198" s="6"/>
      <c r="F198" s="6"/>
      <c r="G198" s="6"/>
      <c r="H198" s="6"/>
      <c r="I198" s="6"/>
      <c r="J198" s="6"/>
      <c r="K198" s="6"/>
      <c r="L198" s="6"/>
    </row>
    <row r="199" spans="2:12" ht="15.75" customHeight="1">
      <c r="C199" s="79" t="str">
        <f>C18</f>
        <v xml:space="preserve">Fiscal year  </v>
      </c>
      <c r="D199" s="79"/>
      <c r="E199" s="81">
        <f t="shared" ref="E199:L200" si="32">E18</f>
        <v>2023</v>
      </c>
      <c r="F199" s="81">
        <f t="shared" si="32"/>
        <v>2024</v>
      </c>
      <c r="G199" s="81">
        <f t="shared" si="32"/>
        <v>2025</v>
      </c>
      <c r="H199" s="83">
        <f t="shared" si="32"/>
        <v>2026</v>
      </c>
      <c r="I199" s="83">
        <f t="shared" si="32"/>
        <v>2027</v>
      </c>
      <c r="J199" s="83">
        <f t="shared" si="32"/>
        <v>2028</v>
      </c>
      <c r="K199" s="83">
        <f t="shared" si="32"/>
        <v>2029</v>
      </c>
      <c r="L199" s="83">
        <f t="shared" si="32"/>
        <v>2030</v>
      </c>
    </row>
    <row r="200" spans="2:12" ht="15.75" customHeight="1">
      <c r="C200" s="6" t="str">
        <f>C19</f>
        <v>Fiscal year end date</v>
      </c>
      <c r="D200" s="6"/>
      <c r="E200" s="85">
        <f t="shared" si="32"/>
        <v>45291</v>
      </c>
      <c r="F200" s="85">
        <f t="shared" si="32"/>
        <v>45657</v>
      </c>
      <c r="G200" s="85">
        <f t="shared" si="32"/>
        <v>46022</v>
      </c>
      <c r="H200" s="85">
        <f t="shared" si="32"/>
        <v>46387</v>
      </c>
      <c r="I200" s="85">
        <f t="shared" si="32"/>
        <v>46752</v>
      </c>
      <c r="J200" s="85">
        <f t="shared" si="32"/>
        <v>47118</v>
      </c>
      <c r="K200" s="85">
        <f t="shared" si="32"/>
        <v>47483</v>
      </c>
      <c r="L200" s="85">
        <f t="shared" si="32"/>
        <v>47848</v>
      </c>
    </row>
    <row r="201" spans="2:12" ht="15.75" customHeight="1">
      <c r="C201" s="72"/>
      <c r="D201" s="72"/>
    </row>
    <row r="202" spans="2:12" ht="15.75" customHeight="1">
      <c r="C202" s="26" t="s">
        <v>187</v>
      </c>
      <c r="D202" s="26"/>
    </row>
    <row r="203" spans="2:12" ht="15.75" customHeight="1">
      <c r="C203" s="44" t="s">
        <v>188</v>
      </c>
      <c r="D203" s="44"/>
      <c r="H203" s="91">
        <f>G106</f>
        <v>289717</v>
      </c>
      <c r="I203" s="91">
        <f ca="1">H106</f>
        <v>510769.65114840347</v>
      </c>
      <c r="J203" s="91">
        <f ca="1">I106</f>
        <v>601266.37442485965</v>
      </c>
      <c r="K203" s="91">
        <f ca="1">J106</f>
        <v>806291.50323822116</v>
      </c>
      <c r="L203" s="91">
        <f ca="1">K106</f>
        <v>1048912.7470052112</v>
      </c>
    </row>
    <row r="204" spans="2:12" ht="15.75" customHeight="1">
      <c r="C204" s="44" t="s">
        <v>189</v>
      </c>
      <c r="D204" s="44"/>
      <c r="H204" s="49">
        <v>-50000</v>
      </c>
      <c r="I204" s="49">
        <v>-50000</v>
      </c>
      <c r="J204" s="49">
        <v>-50000</v>
      </c>
      <c r="K204" s="49">
        <v>-50000</v>
      </c>
      <c r="L204" s="49">
        <v>-50000</v>
      </c>
    </row>
    <row r="205" spans="2:12" ht="15.75" customHeight="1">
      <c r="C205" s="108" t="s">
        <v>190</v>
      </c>
      <c r="D205" s="108"/>
      <c r="E205" s="122"/>
      <c r="F205" s="122"/>
      <c r="G205" s="122"/>
      <c r="H205" s="110">
        <f ca="1">H162+H165+H167+H169+H170+H172</f>
        <v>221052.65114840347</v>
      </c>
      <c r="I205" s="110">
        <f ca="1">I162+I165+I167+I169+I170+I172</f>
        <v>90496.723276456236</v>
      </c>
      <c r="J205" s="110">
        <f ca="1">J162+J165+J167+J169+J170+J172</f>
        <v>205025.12881336152</v>
      </c>
      <c r="K205" s="110">
        <f ca="1">K162+K165+K167+K169+K170+K172</f>
        <v>242621.24376698991</v>
      </c>
      <c r="L205" s="110">
        <f ca="1">L162+L165+L167+L169+L170+L172</f>
        <v>355547.79084203322</v>
      </c>
    </row>
    <row r="206" spans="2:12" ht="15.75" customHeight="1">
      <c r="C206" s="111" t="s">
        <v>191</v>
      </c>
      <c r="D206" s="111"/>
      <c r="H206" s="98">
        <f ca="1">SUM(H203:H205)</f>
        <v>460769.65114840347</v>
      </c>
      <c r="I206" s="98">
        <f ca="1">SUM(I203:I205)</f>
        <v>551266.37442485965</v>
      </c>
      <c r="J206" s="98">
        <f ca="1">SUM(J203:J205)</f>
        <v>756291.50323822116</v>
      </c>
      <c r="K206" s="98">
        <f ca="1">SUM(K203:K205)</f>
        <v>998912.74700521107</v>
      </c>
      <c r="L206" s="98">
        <f ca="1">SUM(L203:L205)</f>
        <v>1354460.5378472444</v>
      </c>
    </row>
    <row r="207" spans="2:12" ht="15.75" customHeight="1">
      <c r="C207" s="44"/>
      <c r="D207" s="44"/>
      <c r="H207" s="123"/>
      <c r="I207" s="123"/>
      <c r="J207" s="123"/>
      <c r="K207" s="123"/>
      <c r="L207" s="123"/>
    </row>
    <row r="208" spans="2:12" ht="15.75" customHeight="1">
      <c r="C208" s="72" t="s">
        <v>192</v>
      </c>
      <c r="D208" s="72"/>
    </row>
    <row r="209" spans="2:12" ht="15.75" customHeight="1">
      <c r="C209" s="44" t="s">
        <v>170</v>
      </c>
      <c r="D209" s="44"/>
      <c r="H209" s="54">
        <f>G138</f>
        <v>0</v>
      </c>
      <c r="I209" s="91">
        <f ca="1">H212</f>
        <v>0</v>
      </c>
      <c r="J209" s="91">
        <f ca="1">I212</f>
        <v>0</v>
      </c>
      <c r="K209" s="91">
        <f ca="1">J212</f>
        <v>0</v>
      </c>
      <c r="L209" s="91">
        <f ca="1">K212</f>
        <v>0</v>
      </c>
    </row>
    <row r="210" spans="2:12" ht="15.75" customHeight="1">
      <c r="C210" s="44" t="s">
        <v>193</v>
      </c>
      <c r="D210" s="44"/>
      <c r="H210" s="91">
        <f ca="1">IF(H206&lt;0,-H206,IF(H209&gt;0,-MIN(H209,H206),0))</f>
        <v>0</v>
      </c>
      <c r="I210" s="91">
        <f ca="1">IF(I206&lt;0,-I206,IF(I209&gt;0,-MIN(I209,I206),0))</f>
        <v>0</v>
      </c>
      <c r="J210" s="91">
        <f ca="1">IF(J206&lt;0,-J206,IF(J209&gt;0,-MIN(J209,J206),0))</f>
        <v>0</v>
      </c>
      <c r="K210" s="91">
        <f ca="1">IF(K206&lt;0,-K206,IF(K209&gt;0,-MIN(K209,K206),0))</f>
        <v>0</v>
      </c>
      <c r="L210" s="91">
        <f ca="1">IF(L206&lt;0,-L206,IF(L209&gt;0,-MIN(L209,L206),0))</f>
        <v>0</v>
      </c>
    </row>
    <row r="211" spans="2:12" ht="15.75" customHeight="1">
      <c r="C211" s="108" t="s">
        <v>194</v>
      </c>
      <c r="D211" s="108"/>
      <c r="E211" s="122"/>
      <c r="F211" s="122"/>
      <c r="G211" s="122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</row>
    <row r="212" spans="2:12" ht="15.75" customHeight="1">
      <c r="C212" s="124" t="s">
        <v>175</v>
      </c>
      <c r="D212" s="124"/>
      <c r="E212" s="125"/>
      <c r="F212" s="125"/>
      <c r="G212" s="125"/>
      <c r="H212" s="126">
        <f ca="1">H209+H210+H211</f>
        <v>0</v>
      </c>
      <c r="I212" s="126">
        <f ca="1">I209+I210+I211</f>
        <v>0</v>
      </c>
      <c r="J212" s="126">
        <f ca="1">J209+J210+J211</f>
        <v>0</v>
      </c>
      <c r="K212" s="126">
        <f ca="1">K209+K210+K211</f>
        <v>0</v>
      </c>
      <c r="L212" s="126">
        <f ca="1">L209+L210+L211</f>
        <v>0</v>
      </c>
    </row>
    <row r="213" spans="2:12" ht="15.75" customHeight="1">
      <c r="C213" s="127" t="s">
        <v>195</v>
      </c>
      <c r="D213" s="128"/>
      <c r="E213" s="129"/>
      <c r="F213" s="129"/>
      <c r="G213" s="130">
        <f t="shared" ref="G213:L213" si="33">G132+G130</f>
        <v>2214605</v>
      </c>
      <c r="H213" s="131">
        <f t="shared" ca="1" si="33"/>
        <v>2191161</v>
      </c>
      <c r="I213" s="131">
        <f t="shared" ca="1" si="33"/>
        <v>2067717</v>
      </c>
      <c r="J213" s="131">
        <f t="shared" ca="1" si="33"/>
        <v>1944273</v>
      </c>
      <c r="K213" s="131">
        <f t="shared" ca="1" si="33"/>
        <v>1770829</v>
      </c>
      <c r="L213" s="132">
        <f t="shared" ca="1" si="33"/>
        <v>1597385</v>
      </c>
    </row>
    <row r="214" spans="2:12" ht="15.75" customHeight="1">
      <c r="E214" s="91"/>
      <c r="F214" s="91"/>
      <c r="G214" s="133"/>
      <c r="H214" s="134"/>
      <c r="I214" s="134"/>
      <c r="J214" s="134"/>
      <c r="K214" s="134"/>
      <c r="L214" s="134"/>
    </row>
    <row r="215" spans="2:12" ht="15.75" customHeight="1">
      <c r="B215" t="s">
        <v>0</v>
      </c>
      <c r="C215" s="57" t="s">
        <v>196</v>
      </c>
      <c r="D215" s="57"/>
      <c r="E215" s="116"/>
      <c r="F215" s="116"/>
      <c r="G215" s="116"/>
      <c r="H215" s="135"/>
      <c r="I215" s="135"/>
      <c r="J215" s="135"/>
      <c r="K215" s="135"/>
      <c r="L215" s="135"/>
    </row>
    <row r="216" spans="2:12" ht="15.75" customHeight="1">
      <c r="C216" s="79" t="str">
        <f>C18</f>
        <v xml:space="preserve">Fiscal year  </v>
      </c>
      <c r="D216" s="79"/>
      <c r="E216" s="81">
        <f t="shared" ref="E216:L217" si="34">E18</f>
        <v>2023</v>
      </c>
      <c r="F216" s="81">
        <f t="shared" si="34"/>
        <v>2024</v>
      </c>
      <c r="G216" s="81">
        <f t="shared" si="34"/>
        <v>2025</v>
      </c>
      <c r="H216" s="83">
        <f t="shared" si="34"/>
        <v>2026</v>
      </c>
      <c r="I216" s="83">
        <f t="shared" si="34"/>
        <v>2027</v>
      </c>
      <c r="J216" s="83">
        <f t="shared" si="34"/>
        <v>2028</v>
      </c>
      <c r="K216" s="83">
        <f t="shared" si="34"/>
        <v>2029</v>
      </c>
      <c r="L216" s="83">
        <f t="shared" si="34"/>
        <v>2030</v>
      </c>
    </row>
    <row r="217" spans="2:12" ht="15.75" customHeight="1">
      <c r="C217" s="6" t="str">
        <f>C19</f>
        <v>Fiscal year end date</v>
      </c>
      <c r="D217" s="6"/>
      <c r="E217" s="85">
        <f t="shared" si="34"/>
        <v>45291</v>
      </c>
      <c r="F217" s="85">
        <f t="shared" si="34"/>
        <v>45657</v>
      </c>
      <c r="G217" s="85">
        <f t="shared" si="34"/>
        <v>46022</v>
      </c>
      <c r="H217" s="85">
        <f t="shared" si="34"/>
        <v>46387</v>
      </c>
      <c r="I217" s="85">
        <f t="shared" si="34"/>
        <v>46752</v>
      </c>
      <c r="J217" s="85">
        <f t="shared" si="34"/>
        <v>47118</v>
      </c>
      <c r="K217" s="85">
        <f t="shared" si="34"/>
        <v>47483</v>
      </c>
      <c r="L217" s="85">
        <f t="shared" si="34"/>
        <v>47848</v>
      </c>
    </row>
    <row r="218" spans="2:12" ht="15.75" customHeight="1">
      <c r="C218" s="44"/>
      <c r="D218" s="44"/>
      <c r="E218" s="91"/>
      <c r="F218" s="91"/>
      <c r="G218" s="91"/>
      <c r="H218" s="136"/>
      <c r="I218" s="136"/>
      <c r="J218" s="136"/>
      <c r="K218" s="136"/>
      <c r="L218" s="136"/>
    </row>
    <row r="219" spans="2:12" ht="15.75" customHeight="1">
      <c r="C219" s="95" t="s">
        <v>197</v>
      </c>
      <c r="D219" s="95"/>
      <c r="E219" s="91"/>
      <c r="F219" s="91"/>
      <c r="G219" s="98">
        <f>G31</f>
        <v>-174217</v>
      </c>
      <c r="H219" s="98">
        <f ca="1">H224+H229</f>
        <v>-138781.62900000002</v>
      </c>
      <c r="I219" s="98">
        <f ca="1">I224+I229</f>
        <v>-134154.65700000001</v>
      </c>
      <c r="J219" s="98">
        <f ca="1">J224+J229</f>
        <v>-126377.685</v>
      </c>
      <c r="K219" s="98">
        <f ca="1">K224+K229</f>
        <v>-117025.713</v>
      </c>
      <c r="L219" s="98">
        <f ca="1">L224+L229</f>
        <v>-106098.74099999999</v>
      </c>
    </row>
    <row r="220" spans="2:12" ht="15.75" customHeight="1">
      <c r="C220" s="137"/>
      <c r="D220" s="137"/>
    </row>
    <row r="221" spans="2:12" ht="15.75" customHeight="1">
      <c r="C221" s="138" t="s">
        <v>198</v>
      </c>
      <c r="D221" s="138"/>
    </row>
    <row r="222" spans="2:12" ht="15.75" customHeight="1">
      <c r="C222" s="44" t="s">
        <v>199</v>
      </c>
      <c r="D222" s="44"/>
      <c r="H222" s="43">
        <v>6.0499999999999998E-2</v>
      </c>
      <c r="I222" s="43">
        <v>6.0499999999999998E-2</v>
      </c>
      <c r="J222" s="43">
        <v>6.0499999999999998E-2</v>
      </c>
      <c r="K222" s="43">
        <v>6.0499999999999998E-2</v>
      </c>
      <c r="L222" s="43">
        <v>6.0499999999999998E-2</v>
      </c>
    </row>
    <row r="223" spans="2:12" ht="15.75" customHeight="1">
      <c r="C223" s="44" t="s">
        <v>200</v>
      </c>
      <c r="D223" s="44"/>
      <c r="E223" s="91"/>
      <c r="F223" s="91"/>
      <c r="G223" s="91">
        <v>0</v>
      </c>
      <c r="H223" s="91">
        <f ca="1">H212</f>
        <v>0</v>
      </c>
      <c r="I223" s="91">
        <f ca="1">I212</f>
        <v>0</v>
      </c>
      <c r="J223" s="91">
        <f ca="1">J212</f>
        <v>0</v>
      </c>
      <c r="K223" s="91">
        <f ca="1">K212</f>
        <v>0</v>
      </c>
      <c r="L223" s="91">
        <f ca="1">L212</f>
        <v>0</v>
      </c>
    </row>
    <row r="224" spans="2:12" ht="15.75" customHeight="1">
      <c r="C224" s="139" t="s">
        <v>201</v>
      </c>
      <c r="D224" s="139"/>
      <c r="E224" s="140"/>
      <c r="F224" s="140"/>
      <c r="G224" s="141">
        <v>0</v>
      </c>
      <c r="H224" s="141">
        <f ca="1">-H222*(G223+H223)/2</f>
        <v>0</v>
      </c>
      <c r="I224" s="141">
        <f ca="1">-I222*(H223+I223)/2</f>
        <v>0</v>
      </c>
      <c r="J224" s="141">
        <f ca="1">-J222*(I223+J223)/2</f>
        <v>0</v>
      </c>
      <c r="K224" s="141">
        <f ca="1">-K222*(J223+K223)/2</f>
        <v>0</v>
      </c>
      <c r="L224" s="141">
        <f ca="1">-L222*(K223+L223)/2</f>
        <v>0</v>
      </c>
    </row>
    <row r="225" spans="2:15" ht="15.75" customHeight="1">
      <c r="C225" s="89"/>
      <c r="D225" s="89"/>
      <c r="E225" s="91"/>
      <c r="F225" s="91"/>
      <c r="G225" s="91"/>
    </row>
    <row r="226" spans="2:15" ht="15.75" customHeight="1">
      <c r="C226" s="138" t="s">
        <v>131</v>
      </c>
      <c r="D226" s="138"/>
      <c r="E226" s="91"/>
      <c r="F226" s="91"/>
      <c r="G226" s="91"/>
    </row>
    <row r="227" spans="2:15" ht="15.75" customHeight="1">
      <c r="C227" s="44" t="s">
        <v>200</v>
      </c>
      <c r="D227" s="44"/>
      <c r="E227" s="91"/>
      <c r="F227" s="91">
        <f t="shared" ref="F227:L227" si="35">F132+F130</f>
        <v>2231426</v>
      </c>
      <c r="G227" s="91">
        <f t="shared" si="35"/>
        <v>2214605</v>
      </c>
      <c r="H227" s="91">
        <f t="shared" ca="1" si="35"/>
        <v>2191161</v>
      </c>
      <c r="I227" s="91">
        <f t="shared" ca="1" si="35"/>
        <v>2067717</v>
      </c>
      <c r="J227" s="91">
        <f t="shared" ca="1" si="35"/>
        <v>1944273</v>
      </c>
      <c r="K227" s="91">
        <f t="shared" ca="1" si="35"/>
        <v>1770829</v>
      </c>
      <c r="L227" s="91">
        <f t="shared" ca="1" si="35"/>
        <v>1597385</v>
      </c>
    </row>
    <row r="228" spans="2:15" ht="15.75" customHeight="1">
      <c r="C228" s="44" t="s">
        <v>199</v>
      </c>
      <c r="D228" s="44"/>
      <c r="F228" s="118"/>
      <c r="G228" s="112">
        <f>-G31/((F227+G227)/2)</f>
        <v>7.8369673985628982E-2</v>
      </c>
      <c r="H228" s="43">
        <v>6.3E-2</v>
      </c>
      <c r="I228" s="43">
        <v>6.3E-2</v>
      </c>
      <c r="J228" s="43">
        <v>6.3E-2</v>
      </c>
      <c r="K228" s="43">
        <v>6.3E-2</v>
      </c>
      <c r="L228" s="43">
        <v>6.3E-2</v>
      </c>
    </row>
    <row r="229" spans="2:15" ht="15.75" customHeight="1">
      <c r="C229" s="111" t="s">
        <v>74</v>
      </c>
      <c r="D229" s="111"/>
      <c r="E229" s="102"/>
      <c r="F229" s="102"/>
      <c r="G229" s="91">
        <f>G31</f>
        <v>-174217</v>
      </c>
      <c r="H229" s="91">
        <f ca="1">-H228*(G227+H227)/2</f>
        <v>-138781.62900000002</v>
      </c>
      <c r="I229" s="91">
        <f ca="1">-I228*(H227+I227)/2</f>
        <v>-134154.65700000001</v>
      </c>
      <c r="J229" s="91">
        <f ca="1">-J228*(I227+J227)/2</f>
        <v>-126377.685</v>
      </c>
      <c r="K229" s="91">
        <f ca="1">-K228*(J227+K227)/2</f>
        <v>-117025.713</v>
      </c>
      <c r="L229" s="91">
        <f ca="1">-L228*(K227+L227)/2</f>
        <v>-106098.74099999999</v>
      </c>
    </row>
    <row r="230" spans="2:15" ht="15.75" customHeight="1">
      <c r="C230" s="111"/>
      <c r="D230" s="111"/>
      <c r="E230" s="102"/>
      <c r="F230" s="102"/>
      <c r="G230" s="102"/>
      <c r="H230" s="102"/>
      <c r="I230" s="102"/>
      <c r="J230" s="102"/>
      <c r="K230" s="102"/>
      <c r="L230" s="102"/>
    </row>
    <row r="231" spans="2:15" ht="15.75" customHeight="1">
      <c r="C231" s="137" t="s">
        <v>202</v>
      </c>
      <c r="D231" s="137"/>
      <c r="F231" s="91"/>
      <c r="G231" s="91"/>
    </row>
    <row r="232" spans="2:15" ht="15.75" customHeight="1">
      <c r="C232" s="44" t="s">
        <v>203</v>
      </c>
      <c r="D232" s="44"/>
      <c r="G232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</row>
    <row r="233" spans="2:15" ht="15.75" customHeight="1">
      <c r="C233" s="44" t="s">
        <v>73</v>
      </c>
      <c r="D233" s="44"/>
      <c r="E233" s="91"/>
      <c r="F233" s="91"/>
      <c r="G233" s="91">
        <f>G30</f>
        <v>0</v>
      </c>
      <c r="H233" s="91">
        <f ca="1">H232*(G106+H106)/2</f>
        <v>0</v>
      </c>
      <c r="I233" s="91">
        <f ca="1">I232*(H106+I106)/2</f>
        <v>0</v>
      </c>
      <c r="J233" s="91">
        <f ca="1">J232*(I106+J106)/2</f>
        <v>0</v>
      </c>
      <c r="K233" s="91">
        <f ca="1">K232*(J106+K106)/2</f>
        <v>0</v>
      </c>
      <c r="L233" s="91">
        <f ca="1">L232*(K106+L106)/2</f>
        <v>0</v>
      </c>
    </row>
    <row r="235" spans="2:15" ht="15.75" customHeight="1">
      <c r="B235" t="s">
        <v>0</v>
      </c>
      <c r="C235" s="145" t="s">
        <v>207</v>
      </c>
      <c r="D235" s="145"/>
      <c r="E235" s="146"/>
      <c r="F235" s="146"/>
      <c r="G235" s="146"/>
      <c r="H235" s="146"/>
      <c r="I235" s="146"/>
      <c r="J235" s="146"/>
      <c r="K235" s="146"/>
      <c r="L235" s="146"/>
      <c r="M235" s="147"/>
      <c r="N235" s="147"/>
      <c r="O235" s="147"/>
    </row>
    <row r="236" spans="2:15" ht="15.75" customHeight="1">
      <c r="C236" s="79" t="s">
        <v>22</v>
      </c>
      <c r="D236" s="79"/>
      <c r="E236" s="81"/>
      <c r="F236" s="81"/>
      <c r="G236" s="81"/>
      <c r="H236" s="83">
        <f t="shared" ref="H236:L237" si="36">H18</f>
        <v>2026</v>
      </c>
      <c r="I236" s="83">
        <f t="shared" si="36"/>
        <v>2027</v>
      </c>
      <c r="J236" s="83">
        <f t="shared" si="36"/>
        <v>2028</v>
      </c>
      <c r="K236" s="83">
        <f t="shared" si="36"/>
        <v>2029</v>
      </c>
      <c r="L236" s="83">
        <f t="shared" si="36"/>
        <v>2030</v>
      </c>
      <c r="M236" s="148"/>
    </row>
    <row r="237" spans="2:15" ht="15.75" customHeight="1">
      <c r="C237" s="6" t="s">
        <v>23</v>
      </c>
      <c r="D237" s="6"/>
      <c r="E237" s="85"/>
      <c r="F237" s="85"/>
      <c r="G237" s="85"/>
      <c r="H237" s="85">
        <f t="shared" si="36"/>
        <v>46387</v>
      </c>
      <c r="I237" s="85">
        <f t="shared" si="36"/>
        <v>46752</v>
      </c>
      <c r="J237" s="85">
        <f t="shared" si="36"/>
        <v>47118</v>
      </c>
      <c r="K237" s="85">
        <f t="shared" si="36"/>
        <v>47483</v>
      </c>
      <c r="L237" s="85">
        <f t="shared" si="36"/>
        <v>47848</v>
      </c>
    </row>
    <row r="238" spans="2:15" ht="15.75" customHeight="1">
      <c r="C238" s="10"/>
      <c r="D238" s="10"/>
      <c r="E238" s="10"/>
      <c r="F238" s="10"/>
      <c r="G238" s="10"/>
      <c r="H238" s="149"/>
      <c r="I238" s="149"/>
      <c r="J238" s="149"/>
      <c r="K238" s="149"/>
      <c r="L238" s="149"/>
    </row>
    <row r="239" spans="2:15" ht="15.75" customHeight="1">
      <c r="C239" s="150" t="s">
        <v>83</v>
      </c>
      <c r="D239" s="150"/>
      <c r="E239" s="19"/>
      <c r="F239" s="19"/>
      <c r="G239" s="19"/>
      <c r="H239" s="69">
        <f ca="1">H40</f>
        <v>874273.01584611775</v>
      </c>
      <c r="I239" s="69">
        <f ca="1">I40</f>
        <v>1012186.8909349029</v>
      </c>
      <c r="J239" s="69">
        <f ca="1">J40</f>
        <v>1182647.8936099811</v>
      </c>
      <c r="K239" s="69">
        <f ca="1">K40</f>
        <v>1349589.7096349499</v>
      </c>
      <c r="L239" s="69">
        <f ca="1">L40</f>
        <v>1522792.5302145074</v>
      </c>
    </row>
    <row r="240" spans="2:15" ht="15.75" customHeight="1">
      <c r="C240" s="19" t="s">
        <v>208</v>
      </c>
      <c r="D240" s="19"/>
      <c r="E240" s="68"/>
      <c r="F240" s="19"/>
      <c r="G240" s="19"/>
      <c r="H240" s="69">
        <f ca="1">H164</f>
        <v>-94588.763828591196</v>
      </c>
      <c r="I240" s="69">
        <f ca="1">I164</f>
        <v>-106806.73045839745</v>
      </c>
      <c r="J240" s="69">
        <f ca="1">J164</f>
        <v>-119612.32793017547</v>
      </c>
      <c r="K240" s="69">
        <f ca="1">K164</f>
        <v>-132926.44874630266</v>
      </c>
      <c r="L240" s="69">
        <f ca="1">L164</f>
        <v>-147090.91809382779</v>
      </c>
    </row>
    <row r="241" spans="2:15" ht="15.75" customHeight="1">
      <c r="C241" s="19" t="s">
        <v>209</v>
      </c>
      <c r="D241" s="19"/>
      <c r="E241" s="68"/>
      <c r="F241" s="19"/>
      <c r="G241" s="19"/>
      <c r="H241" s="69">
        <f ca="1">H158+H159</f>
        <v>-197418.78806308238</v>
      </c>
      <c r="I241" s="69">
        <f ca="1">I158+I159</f>
        <v>-197907.03790022945</v>
      </c>
      <c r="J241" s="69">
        <f ca="1">J158+J159</f>
        <v>-206792.02428700571</v>
      </c>
      <c r="K241" s="69">
        <f ca="1">K158+K159</f>
        <v>-215333.61780706141</v>
      </c>
      <c r="L241" s="69">
        <f ca="1">L158+L159</f>
        <v>-229271.10310140444</v>
      </c>
    </row>
    <row r="242" spans="2:15" ht="15.75" customHeight="1">
      <c r="C242" s="150" t="s">
        <v>210</v>
      </c>
      <c r="D242" s="150"/>
      <c r="E242" s="150"/>
      <c r="F242" s="150"/>
      <c r="G242" s="150"/>
      <c r="H242" s="71">
        <f ca="1">SUM(H239:H241)</f>
        <v>582265.46395444416</v>
      </c>
      <c r="I242" s="71">
        <f ca="1">SUM(I239:I241)</f>
        <v>707473.12257627607</v>
      </c>
      <c r="J242" s="71">
        <f ca="1">SUM(J239:J241)</f>
        <v>856243.54139279993</v>
      </c>
      <c r="K242" s="71">
        <f ca="1">SUM(K239:K241)</f>
        <v>1001329.6430815859</v>
      </c>
      <c r="L242" s="71">
        <f ca="1">SUM(L239:L241)</f>
        <v>1146430.5090192752</v>
      </c>
    </row>
    <row r="243" spans="2:15" ht="15.75" customHeight="1">
      <c r="C243" s="19" t="s">
        <v>80</v>
      </c>
      <c r="D243" s="19"/>
      <c r="E243" s="19"/>
      <c r="F243" s="151"/>
      <c r="G243" s="68"/>
      <c r="H243" s="69">
        <f ca="1">H36</f>
        <v>-135609.51521000004</v>
      </c>
      <c r="I243" s="69">
        <f ca="1">I36</f>
        <v>-171500.36679500001</v>
      </c>
      <c r="J243" s="69">
        <f ca="1">J36</f>
        <v>-214025.24977736495</v>
      </c>
      <c r="K243" s="69">
        <f ca="1">K36</f>
        <v>-256372.31226016564</v>
      </c>
      <c r="L243" s="69">
        <f ca="1">L36</f>
        <v>-299982.13756741676</v>
      </c>
    </row>
    <row r="244" spans="2:15" ht="15.75" customHeight="1">
      <c r="C244" s="150" t="s">
        <v>211</v>
      </c>
      <c r="D244" s="150"/>
      <c r="E244" s="150"/>
      <c r="F244" s="150"/>
      <c r="G244" s="25"/>
      <c r="H244" s="71">
        <f ca="1">SUM(H242:H243)</f>
        <v>446655.94874444412</v>
      </c>
      <c r="I244" s="71">
        <f ca="1">SUM(I242:I243)</f>
        <v>535972.75578127604</v>
      </c>
      <c r="J244" s="71">
        <f ca="1">SUM(J242:J243)</f>
        <v>642218.29161543492</v>
      </c>
      <c r="K244" s="71">
        <f ca="1">SUM(K242:K243)</f>
        <v>744957.3308214203</v>
      </c>
      <c r="L244" s="71">
        <f ca="1">SUM(L242:L243)</f>
        <v>846448.37145185843</v>
      </c>
      <c r="M244" s="91"/>
    </row>
    <row r="245" spans="2:15" ht="15.75" customHeight="1">
      <c r="C245" s="19" t="s">
        <v>212</v>
      </c>
      <c r="D245" s="19"/>
      <c r="E245" s="19"/>
      <c r="F245" s="209">
        <v>13</v>
      </c>
      <c r="G245" s="68"/>
      <c r="H245" s="69">
        <v>0</v>
      </c>
      <c r="I245" s="69">
        <v>0</v>
      </c>
      <c r="J245" s="69">
        <v>0</v>
      </c>
      <c r="K245" s="69">
        <v>0</v>
      </c>
      <c r="L245" s="69">
        <f ca="1">F245*L239</f>
        <v>19796302.892788596</v>
      </c>
      <c r="M245" s="91"/>
    </row>
    <row r="246" spans="2:15" ht="15.75" customHeight="1">
      <c r="C246" s="150" t="s">
        <v>207</v>
      </c>
      <c r="D246" s="150"/>
      <c r="E246" s="150"/>
      <c r="F246" s="150"/>
      <c r="G246" s="150"/>
      <c r="H246" s="71">
        <f ca="1">SUM(H244:H245)</f>
        <v>446655.94874444412</v>
      </c>
      <c r="I246" s="71">
        <f ca="1">SUM(I244:I245)</f>
        <v>535972.75578127604</v>
      </c>
      <c r="J246" s="71">
        <f ca="1">SUM(J244:J245)</f>
        <v>642218.29161543492</v>
      </c>
      <c r="K246" s="71">
        <f ca="1">SUM(K244:K245)</f>
        <v>744957.3308214203</v>
      </c>
      <c r="L246" s="71">
        <f ca="1">SUM(L244:L245)</f>
        <v>20642751.264240455</v>
      </c>
      <c r="M246" s="91"/>
    </row>
    <row r="247" spans="2:15" ht="15.75" customHeight="1">
      <c r="M247" s="91"/>
    </row>
    <row r="248" spans="2:15" ht="15.75" customHeight="1">
      <c r="C248" s="150" t="s">
        <v>213</v>
      </c>
      <c r="D248" s="150"/>
      <c r="E248" s="153"/>
      <c r="F248" s="154" t="s">
        <v>214</v>
      </c>
      <c r="G248" s="154" t="s">
        <v>215</v>
      </c>
      <c r="H248" s="154"/>
      <c r="I248" s="154" t="s">
        <v>216</v>
      </c>
      <c r="J248" s="154" t="s">
        <v>217</v>
      </c>
      <c r="K248" s="25"/>
    </row>
    <row r="249" spans="2:15" ht="15.75" customHeight="1">
      <c r="C249" s="156">
        <v>0.12</v>
      </c>
      <c r="D249" s="156"/>
      <c r="E249" s="19"/>
      <c r="F249" s="69">
        <f ca="1">NPV(C249,H$244:L$244)</f>
        <v>2236923.8377537099</v>
      </c>
      <c r="G249" s="69">
        <f ca="1">NPV(C249,H$245:L$245)</f>
        <v>11232953.905308042</v>
      </c>
      <c r="H249" s="157"/>
      <c r="I249" s="69">
        <f ca="1">SUM(F249:G249)</f>
        <v>13469877.743061751</v>
      </c>
      <c r="J249" s="158">
        <f ca="1">I249/G$40</f>
        <v>18.086879230463779</v>
      </c>
      <c r="K249" s="68"/>
      <c r="L249" s="91"/>
    </row>
    <row r="250" spans="2:15" ht="15.75" customHeight="1">
      <c r="C250" s="156">
        <v>0.13</v>
      </c>
      <c r="D250" s="156"/>
      <c r="E250" s="19"/>
      <c r="F250" s="69">
        <f ca="1">NPV(C250,H$244:L$244)</f>
        <v>2176420.0746227456</v>
      </c>
      <c r="G250" s="69">
        <f ca="1">NPV(C250,H$245:L$245)</f>
        <v>10744640.091115639</v>
      </c>
      <c r="H250" s="157"/>
      <c r="I250" s="69">
        <f ca="1">SUM(F250:G250)</f>
        <v>12921060.165738385</v>
      </c>
      <c r="J250" s="158">
        <f ca="1">I250/G$40</f>
        <v>17.349946243398144</v>
      </c>
      <c r="K250" s="68"/>
    </row>
    <row r="251" spans="2:15" ht="15.75" customHeight="1">
      <c r="C251" s="156">
        <v>0.14000000000000001</v>
      </c>
      <c r="D251" s="156"/>
      <c r="E251" s="19"/>
      <c r="F251" s="69">
        <f ca="1">NPV(C251,H$244:L$244)</f>
        <v>2118389.4527458828</v>
      </c>
      <c r="G251" s="69">
        <f ca="1">NPV(C251,H$245:L$245)</f>
        <v>10281579.39268996</v>
      </c>
      <c r="H251" s="157"/>
      <c r="I251" s="69">
        <f ca="1">SUM(F251:G251)</f>
        <v>12399968.845435843</v>
      </c>
      <c r="J251" s="158">
        <f ca="1">I251/G$40</f>
        <v>16.650243101459107</v>
      </c>
      <c r="K251" s="68"/>
    </row>
    <row r="252" spans="2:15" ht="15.75" customHeight="1">
      <c r="C252" s="156">
        <v>0.15</v>
      </c>
      <c r="D252" s="156"/>
      <c r="E252" s="19"/>
      <c r="F252" s="69">
        <f ca="1">NPV(C252,H$244:L$244)</f>
        <v>2062704.0434410491</v>
      </c>
      <c r="G252" s="69">
        <f ca="1">NPV(C252,H$245:L$245)</f>
        <v>9842261.2432127278</v>
      </c>
      <c r="H252" s="157"/>
      <c r="I252" s="69">
        <f ca="1">SUM(F252:G252)</f>
        <v>11904965.286653778</v>
      </c>
      <c r="J252" s="158">
        <f ca="1">I252/G$40</f>
        <v>15.985569690376911</v>
      </c>
      <c r="K252" s="68"/>
    </row>
    <row r="253" spans="2:15" ht="15.75" customHeight="1">
      <c r="C253" s="10"/>
      <c r="D253" s="10"/>
      <c r="E253" s="10"/>
      <c r="F253" s="10"/>
      <c r="G253" s="10"/>
      <c r="H253" s="10"/>
      <c r="I253" s="10"/>
      <c r="J253" s="184"/>
      <c r="K253" s="184"/>
      <c r="L253" s="184"/>
      <c r="M253" s="184"/>
      <c r="N253" s="184"/>
      <c r="O253" s="184"/>
    </row>
    <row r="254" spans="2:15" ht="15.75" customHeight="1">
      <c r="B254" t="s">
        <v>0</v>
      </c>
      <c r="C254" s="201" t="s">
        <v>271</v>
      </c>
      <c r="D254" s="201"/>
      <c r="E254" s="201"/>
      <c r="F254" s="201"/>
      <c r="I254" s="1" t="s">
        <v>272</v>
      </c>
      <c r="J254" s="1"/>
      <c r="K254" s="1"/>
    </row>
    <row r="255" spans="2:15" ht="15.75" customHeight="1">
      <c r="C255" s="174" t="s">
        <v>273</v>
      </c>
      <c r="D255" s="174"/>
      <c r="E255" s="204">
        <v>0.4</v>
      </c>
      <c r="F255" s="68"/>
      <c r="I255" s="206" t="s">
        <v>338</v>
      </c>
      <c r="J255" s="207"/>
      <c r="K255" s="69">
        <f ca="1">H50</f>
        <v>904707.73120000004</v>
      </c>
    </row>
    <row r="256" spans="2:15" ht="15.75" customHeight="1">
      <c r="C256" s="174" t="s">
        <v>275</v>
      </c>
      <c r="D256" s="174"/>
      <c r="E256" s="290">
        <f ca="1">SUM(F259:F261)</f>
        <v>5880600.2528000008</v>
      </c>
      <c r="F256" s="68"/>
      <c r="I256" s="206" t="s">
        <v>276</v>
      </c>
      <c r="J256" s="207"/>
      <c r="K256" s="209">
        <v>13.85</v>
      </c>
    </row>
    <row r="257" spans="3:12" ht="15.75" customHeight="1">
      <c r="C257" s="68"/>
      <c r="D257" s="68"/>
      <c r="E257" s="68"/>
      <c r="F257" s="68"/>
      <c r="I257" s="206"/>
      <c r="J257" s="207"/>
      <c r="K257" s="210"/>
    </row>
    <row r="258" spans="3:12" ht="15.75" customHeight="1">
      <c r="C258" s="160" t="s">
        <v>277</v>
      </c>
      <c r="D258" s="160"/>
      <c r="E258" s="211" t="s">
        <v>278</v>
      </c>
      <c r="F258" s="211" t="s">
        <v>279</v>
      </c>
      <c r="I258" s="206" t="s">
        <v>280</v>
      </c>
      <c r="J258" s="207"/>
      <c r="K258" s="69">
        <f ca="1">K255*K256</f>
        <v>12530202.07712</v>
      </c>
    </row>
    <row r="259" spans="3:12" ht="15.75" customHeight="1">
      <c r="C259" s="44" t="s">
        <v>138</v>
      </c>
      <c r="D259" s="44"/>
      <c r="E259" s="213"/>
      <c r="F259" s="69">
        <v>0</v>
      </c>
      <c r="I259" s="206"/>
      <c r="J259" s="207"/>
      <c r="K259" s="210"/>
    </row>
    <row r="260" spans="3:12" ht="15.75" customHeight="1">
      <c r="C260" s="44" t="s">
        <v>281</v>
      </c>
      <c r="D260" s="44"/>
      <c r="E260" s="152">
        <v>4.5</v>
      </c>
      <c r="F260" s="69">
        <f ca="1">E260*K255</f>
        <v>4071184.7904000003</v>
      </c>
      <c r="I260" s="214" t="s">
        <v>339</v>
      </c>
      <c r="J260" s="207"/>
      <c r="K260" s="69">
        <f>G132+G130</f>
        <v>2214605</v>
      </c>
    </row>
    <row r="261" spans="3:12" ht="15.75" customHeight="1">
      <c r="C261" s="44" t="s">
        <v>227</v>
      </c>
      <c r="D261" s="44"/>
      <c r="E261" s="152">
        <v>2</v>
      </c>
      <c r="F261" s="69">
        <f ca="1">E261*K255</f>
        <v>1809415.4624000001</v>
      </c>
      <c r="I261" s="215"/>
      <c r="J261" s="207"/>
      <c r="K261" s="69"/>
    </row>
    <row r="262" spans="3:12" ht="15.75" customHeight="1">
      <c r="C262" s="216" t="s">
        <v>283</v>
      </c>
      <c r="D262" s="216"/>
      <c r="E262" s="217">
        <f ca="1">F262/K255</f>
        <v>6.5000000000000009</v>
      </c>
      <c r="F262" s="71">
        <f ca="1">SUM(F259:F261)</f>
        <v>5880600.2528000008</v>
      </c>
      <c r="I262" s="215"/>
      <c r="J262" s="207"/>
      <c r="K262" s="69"/>
    </row>
    <row r="263" spans="3:12" ht="15.75" customHeight="1">
      <c r="C263" s="218" t="s">
        <v>285</v>
      </c>
      <c r="D263" s="218"/>
      <c r="E263" s="219"/>
      <c r="F263" s="220">
        <f ca="1">F262/F270</f>
        <v>0.45132989000727874</v>
      </c>
      <c r="I263" s="215" t="s">
        <v>284</v>
      </c>
      <c r="J263" s="207"/>
      <c r="K263" s="69">
        <f>SUM(K264:K265)</f>
        <v>289717</v>
      </c>
      <c r="L263" s="60"/>
    </row>
    <row r="264" spans="3:12" ht="15.75" customHeight="1">
      <c r="I264" s="221" t="s">
        <v>340</v>
      </c>
      <c r="J264" s="222"/>
      <c r="K264" s="69">
        <f>G106</f>
        <v>289717</v>
      </c>
      <c r="L264" s="60"/>
    </row>
    <row r="265" spans="3:12" ht="15.75" customHeight="1">
      <c r="C265" s="44" t="s">
        <v>287</v>
      </c>
      <c r="D265" s="44"/>
      <c r="E265" s="213"/>
      <c r="F265" s="69">
        <f>G106</f>
        <v>289717</v>
      </c>
      <c r="I265" s="221"/>
      <c r="J265" s="291"/>
      <c r="K265" s="207"/>
      <c r="L265" s="60"/>
    </row>
    <row r="266" spans="3:12" ht="15.75" customHeight="1">
      <c r="E266" s="213"/>
      <c r="F266" s="69"/>
      <c r="I266" s="223" t="s">
        <v>288</v>
      </c>
      <c r="J266" s="224"/>
      <c r="K266" s="225">
        <f ca="1">K258-K260+K263</f>
        <v>10605314.07712</v>
      </c>
      <c r="L266" s="60"/>
    </row>
    <row r="267" spans="3:12" ht="15.75" customHeight="1">
      <c r="C267" s="44" t="s">
        <v>289</v>
      </c>
      <c r="D267" s="44"/>
      <c r="E267" s="217">
        <f ca="1">F267/K255</f>
        <v>7.5816497005480654</v>
      </c>
      <c r="F267" s="69">
        <f ca="1">F270-F262-F265</f>
        <v>6859177.0993360002</v>
      </c>
      <c r="L267" s="68"/>
    </row>
    <row r="268" spans="3:12" ht="15.75" customHeight="1">
      <c r="C268" s="218" t="s">
        <v>285</v>
      </c>
      <c r="D268" s="218"/>
      <c r="E268" s="219"/>
      <c r="F268" s="220">
        <f ca="1">F267/F270</f>
        <v>0.52643463468031937</v>
      </c>
    </row>
    <row r="269" spans="3:12" ht="15.75" customHeight="1">
      <c r="C269" s="68"/>
      <c r="D269" s="68"/>
      <c r="E269" s="152"/>
      <c r="F269" s="226"/>
      <c r="I269" s="308" t="s">
        <v>341</v>
      </c>
      <c r="J269" s="308"/>
      <c r="K269" s="308"/>
    </row>
    <row r="270" spans="3:12" ht="15.75" customHeight="1">
      <c r="C270" s="227" t="s">
        <v>290</v>
      </c>
      <c r="D270" s="227"/>
      <c r="E270" s="228">
        <f ca="1">F270/K255</f>
        <v>14.40188240113052</v>
      </c>
      <c r="F270" s="225">
        <f ca="1">SUM(F277)</f>
        <v>13029494.352136001</v>
      </c>
      <c r="I270" s="214" t="s">
        <v>342</v>
      </c>
      <c r="K270" s="225">
        <f ca="1">K266</f>
        <v>10605314.07712</v>
      </c>
    </row>
    <row r="271" spans="3:12" ht="15.75" customHeight="1">
      <c r="I271" s="214" t="s">
        <v>343</v>
      </c>
      <c r="K271" s="71">
        <f ca="1">H146</f>
        <v>3037639.5456300001</v>
      </c>
    </row>
    <row r="272" spans="3:12" ht="15.75" customHeight="1">
      <c r="C272" s="160" t="s">
        <v>291</v>
      </c>
      <c r="D272" s="160"/>
      <c r="E272" s="160"/>
      <c r="F272" s="229" t="s">
        <v>279</v>
      </c>
      <c r="I272" s="214" t="s">
        <v>344</v>
      </c>
      <c r="K272" s="71">
        <f ca="1">SUM(K270:K271)</f>
        <v>13642953.622750001</v>
      </c>
    </row>
    <row r="273" spans="2:12" ht="15.75" customHeight="1">
      <c r="C273" s="44" t="s">
        <v>292</v>
      </c>
      <c r="D273" s="44"/>
      <c r="E273" s="68"/>
      <c r="F273" s="231">
        <f ca="1">K266</f>
        <v>10605314.07712</v>
      </c>
    </row>
    <row r="274" spans="2:12" ht="15.75" customHeight="1">
      <c r="C274" s="44" t="s">
        <v>293</v>
      </c>
      <c r="D274" s="44"/>
      <c r="E274" s="68"/>
      <c r="F274" s="69">
        <f>K260</f>
        <v>2214605</v>
      </c>
    </row>
    <row r="275" spans="2:12" ht="15.75" customHeight="1">
      <c r="C275" s="44" t="s">
        <v>132</v>
      </c>
      <c r="D275" s="44"/>
      <c r="E275" s="68"/>
      <c r="F275" s="69">
        <f ca="1">F260*0.0275 + F261*0.0125 + F259*0.005 + 25000</f>
        <v>159575.275016</v>
      </c>
      <c r="G275" t="s">
        <v>345</v>
      </c>
    </row>
    <row r="276" spans="2:12" ht="15.75" customHeight="1">
      <c r="C276" s="44" t="s">
        <v>287</v>
      </c>
      <c r="D276" s="44"/>
      <c r="E276" s="68"/>
      <c r="F276" s="69">
        <f>-H204</f>
        <v>50000</v>
      </c>
    </row>
    <row r="277" spans="2:12" ht="15.75" customHeight="1">
      <c r="C277" s="227" t="s">
        <v>295</v>
      </c>
      <c r="D277" s="227"/>
      <c r="E277" s="205"/>
      <c r="F277" s="225">
        <f ca="1">SUM(F273:F276)</f>
        <v>13029494.352136001</v>
      </c>
    </row>
    <row r="279" spans="2:12" ht="15.75" customHeight="1">
      <c r="B279" t="s">
        <v>0</v>
      </c>
      <c r="C279" s="201" t="s">
        <v>346</v>
      </c>
    </row>
    <row r="280" spans="2:12" ht="15.75" customHeight="1">
      <c r="C280" t="s">
        <v>347</v>
      </c>
      <c r="G280" t="s">
        <v>348</v>
      </c>
      <c r="H280" t="s">
        <v>349</v>
      </c>
      <c r="I280" t="s">
        <v>350</v>
      </c>
      <c r="J280" t="s">
        <v>351</v>
      </c>
      <c r="K280" t="s">
        <v>352</v>
      </c>
      <c r="L280" t="s">
        <v>353</v>
      </c>
    </row>
    <row r="282" spans="2:12" ht="15.75" customHeight="1">
      <c r="C282" t="s">
        <v>354</v>
      </c>
    </row>
    <row r="283" spans="2:12" ht="15.75" customHeight="1">
      <c r="C283" t="s">
        <v>355</v>
      </c>
      <c r="L283" s="91">
        <f ca="1">L50</f>
        <v>1406872.0786957555</v>
      </c>
    </row>
    <row r="284" spans="2:12" ht="15.75" customHeight="1">
      <c r="C284" t="s">
        <v>319</v>
      </c>
      <c r="L284" s="266">
        <f>F245</f>
        <v>13</v>
      </c>
    </row>
    <row r="285" spans="2:12" ht="15.75" customHeight="1">
      <c r="C285" t="s">
        <v>356</v>
      </c>
      <c r="L285">
        <f ca="1">L283*L284</f>
        <v>18289337.023044821</v>
      </c>
    </row>
    <row r="286" spans="2:12" ht="15.75" customHeight="1">
      <c r="C286" t="s">
        <v>357</v>
      </c>
      <c r="L286">
        <f ca="1">-(L213-L106)</f>
        <v>-192924.46215275559</v>
      </c>
    </row>
    <row r="287" spans="2:12" ht="15.75" customHeight="1">
      <c r="C287" t="s">
        <v>358</v>
      </c>
      <c r="L287">
        <f ca="1">L285+L286</f>
        <v>18096412.560892064</v>
      </c>
    </row>
    <row r="288" spans="2:12" ht="15.75" customHeight="1">
      <c r="C288" t="s">
        <v>359</v>
      </c>
      <c r="K288" t="s">
        <v>360</v>
      </c>
      <c r="L288">
        <f ca="1">-K288*L287</f>
        <v>-1447713.0048713651</v>
      </c>
    </row>
    <row r="289" spans="3:14" ht="15.75" customHeight="1">
      <c r="C289" t="s">
        <v>361</v>
      </c>
      <c r="L289">
        <f ca="1">L287+L288</f>
        <v>16648699.556020699</v>
      </c>
    </row>
    <row r="291" spans="3:14" ht="15.75" customHeight="1">
      <c r="C291" t="s">
        <v>362</v>
      </c>
    </row>
    <row r="292" spans="3:14" ht="15.75" customHeight="1">
      <c r="C292">
        <f ca="1">L293/-G293</f>
        <v>2.4272152934544247</v>
      </c>
      <c r="D292" s="252">
        <f ca="1">IRR(G293:L293)</f>
        <v>0.19404765482899888</v>
      </c>
    </row>
    <row r="293" spans="3:14" ht="15.75" customHeight="1">
      <c r="C293" t="s">
        <v>363</v>
      </c>
      <c r="G293">
        <f ca="1">-F267</f>
        <v>-6859177.0993360002</v>
      </c>
      <c r="H293">
        <v>0</v>
      </c>
      <c r="I293">
        <v>0</v>
      </c>
      <c r="J293">
        <v>0</v>
      </c>
      <c r="K293">
        <v>0</v>
      </c>
      <c r="L293">
        <f ca="1">L289</f>
        <v>16648699.556020699</v>
      </c>
    </row>
    <row r="295" spans="3:14" ht="15.75" customHeight="1">
      <c r="C295" t="s">
        <v>364</v>
      </c>
      <c r="D295">
        <f ca="1">L293/-G293</f>
        <v>2.4272152934544247</v>
      </c>
    </row>
    <row r="296" spans="3:14" ht="15.75" customHeight="1">
      <c r="C296" t="s">
        <v>365</v>
      </c>
      <c r="D296" s="252">
        <f ca="1">IRR(G293:L293)</f>
        <v>0.19404765482899888</v>
      </c>
    </row>
    <row r="298" spans="3:14" ht="15.75" customHeight="1">
      <c r="C298" t="s">
        <v>366</v>
      </c>
      <c r="N298" t="s">
        <v>367</v>
      </c>
    </row>
    <row r="299" spans="3:14" ht="15.75" customHeight="1">
      <c r="E299" t="s">
        <v>319</v>
      </c>
      <c r="F299">
        <v>12</v>
      </c>
      <c r="G299">
        <v>13</v>
      </c>
      <c r="H299">
        <v>14</v>
      </c>
      <c r="I299">
        <v>15</v>
      </c>
    </row>
    <row r="300" spans="3:14" ht="15.75" customHeight="1">
      <c r="D300">
        <v>12</v>
      </c>
      <c r="E300" s="252">
        <f ca="1">D296</f>
        <v>0.19404765482899888</v>
      </c>
    </row>
    <row r="301" spans="3:14" ht="15.75" customHeight="1">
      <c r="D301" t="s">
        <v>368</v>
      </c>
    </row>
    <row r="302" spans="3:14" ht="15.75" customHeight="1">
      <c r="D302">
        <v>13</v>
      </c>
    </row>
    <row r="303" spans="3:14" ht="15.75" customHeight="1">
      <c r="D303">
        <v>13.85</v>
      </c>
    </row>
    <row r="304" spans="3:14" ht="15.75" customHeight="1">
      <c r="D304">
        <v>14</v>
      </c>
    </row>
    <row r="305" spans="3:14" ht="15.75" customHeight="1">
      <c r="D305">
        <v>15</v>
      </c>
    </row>
    <row r="308" spans="3:14" ht="15.75" customHeight="1">
      <c r="C308" t="s">
        <v>369</v>
      </c>
    </row>
    <row r="309" spans="3:14" ht="15.75" customHeight="1">
      <c r="C309" t="s">
        <v>370</v>
      </c>
      <c r="H309">
        <f ca="1">(H40-(-H164))/(-H31+H130+-H36)</f>
        <v>2.6178383148356068</v>
      </c>
      <c r="I309">
        <f ca="1">(I40-(-I164))/(-I31+I130+-I36)</f>
        <v>2.7510873476199622</v>
      </c>
      <c r="J309">
        <f ca="1">(J40-(-J164))/(-J31+J130+-J36)</f>
        <v>2.9216559604391574</v>
      </c>
      <c r="K309">
        <f ca="1">(K40-(-K164))/(-K31+K130+-K36)</f>
        <v>3.0658629465743079</v>
      </c>
      <c r="L309">
        <f ca="1">(L40-(-L164))/(-L31+L130+-L36)</f>
        <v>3.202845005646755</v>
      </c>
    </row>
    <row r="310" spans="3:14" ht="15.75" customHeight="1">
      <c r="C310" t="s">
        <v>371</v>
      </c>
    </row>
    <row r="311" spans="3:14" ht="15.75" customHeight="1">
      <c r="C311" t="s">
        <v>372</v>
      </c>
      <c r="H311" t="s">
        <v>373</v>
      </c>
    </row>
    <row r="312" spans="3:14" ht="15.75" customHeight="1">
      <c r="C312" t="s">
        <v>374</v>
      </c>
      <c r="H312">
        <f ca="1">(H213-H106)/H40</f>
        <v>1.922044165145965</v>
      </c>
      <c r="I312">
        <f ca="1">(I213-I106)/I40</f>
        <v>1.4487943271233816</v>
      </c>
      <c r="J312">
        <f ca="1">(J213-J106)/J40</f>
        <v>0.96223187214931738</v>
      </c>
      <c r="K312">
        <f ca="1">(K213-K106)/K40</f>
        <v>0.53491535082173958</v>
      </c>
      <c r="L312">
        <f ca="1">(L213-L106)/L40</f>
        <v>0.12669123227546919</v>
      </c>
    </row>
    <row r="313" spans="3:14" ht="15.75" customHeight="1">
      <c r="C313" t="s">
        <v>375</v>
      </c>
      <c r="N313" t="s">
        <v>376</v>
      </c>
    </row>
  </sheetData>
  <mergeCells count="2">
    <mergeCell ref="H178:L178"/>
    <mergeCell ref="I269:K269"/>
  </mergeCells>
  <conditionalFormatting sqref="C74:D74">
    <cfRule type="expression" dxfId="8" priority="2">
      <formula>#REF!=$C74</formula>
    </cfRule>
  </conditionalFormatting>
  <dataValidations count="1">
    <dataValidation type="list" allowBlank="1" showInputMessage="1" showErrorMessage="1" sqref="C3:D3" xr:uid="{00000000-0002-0000-0300-000000000000}">
      <formula1>"$ bns except per share,$ mm except per share,$ in thousands except per share"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233"/>
  <sheetViews>
    <sheetView showGridLines="0" topLeftCell="A27" zoomScale="133" zoomScaleNormal="133" workbookViewId="0">
      <selection activeCell="J218" sqref="J218"/>
    </sheetView>
  </sheetViews>
  <sheetFormatPr baseColWidth="10" defaultColWidth="11" defaultRowHeight="16"/>
  <cols>
    <col min="1" max="1" width="2.5" customWidth="1"/>
    <col min="2" max="2" width="2.1640625" customWidth="1"/>
    <col min="3" max="3" width="26.1640625" customWidth="1"/>
    <col min="4" max="4" width="14.1640625" customWidth="1"/>
    <col min="5" max="5" width="14.33203125" customWidth="1"/>
    <col min="6" max="6" width="14.5" customWidth="1"/>
    <col min="7" max="7" width="12.5" customWidth="1"/>
    <col min="8" max="8" width="14.5" customWidth="1"/>
    <col min="10" max="10" width="15" customWidth="1"/>
    <col min="12" max="12" width="2.1640625" customWidth="1"/>
  </cols>
  <sheetData>
    <row r="1" spans="2:15" ht="16.5" customHeight="1"/>
    <row r="2" spans="2:15" ht="16.5" customHeight="1">
      <c r="B2" t="s">
        <v>0</v>
      </c>
      <c r="C2" s="2" t="str">
        <f>"Financial Statement Model for "&amp;D5</f>
        <v>Financial Statement Model for StandardAero</v>
      </c>
      <c r="D2" s="3"/>
      <c r="E2" s="3"/>
      <c r="F2" s="3"/>
      <c r="G2" s="3"/>
      <c r="H2" s="3"/>
      <c r="I2" s="3"/>
      <c r="J2" s="3"/>
      <c r="K2" s="3"/>
    </row>
    <row r="3" spans="2:15" ht="15.75" customHeight="1">
      <c r="C3" s="4" t="s">
        <v>1</v>
      </c>
      <c r="D3" s="5"/>
      <c r="E3" s="5"/>
      <c r="F3" s="5"/>
      <c r="G3" s="5"/>
      <c r="H3" s="5"/>
    </row>
    <row r="5" spans="2:15" ht="15.75" customHeight="1">
      <c r="C5" s="282" t="s">
        <v>3</v>
      </c>
      <c r="D5" s="283" t="s">
        <v>4</v>
      </c>
    </row>
    <row r="6" spans="2:15" ht="15.75" customHeight="1">
      <c r="C6" s="282" t="s">
        <v>5</v>
      </c>
      <c r="D6" s="283" t="s">
        <v>6</v>
      </c>
    </row>
    <row r="7" spans="2:15" ht="15.75" customHeight="1">
      <c r="C7" t="s">
        <v>377</v>
      </c>
      <c r="D7" s="292">
        <v>1</v>
      </c>
    </row>
    <row r="8" spans="2:15" ht="15.75" customHeight="1">
      <c r="C8" t="s">
        <v>7</v>
      </c>
      <c r="D8" s="284">
        <v>25.59</v>
      </c>
    </row>
    <row r="9" spans="2:15" ht="15.75" customHeight="1">
      <c r="C9" t="s">
        <v>8</v>
      </c>
      <c r="D9" s="285">
        <v>46119</v>
      </c>
    </row>
    <row r="10" spans="2:15" ht="15.75" customHeight="1">
      <c r="C10" s="282" t="s">
        <v>9</v>
      </c>
      <c r="D10" s="286">
        <v>46022</v>
      </c>
    </row>
    <row r="11" spans="2:15" ht="15.75" customHeight="1">
      <c r="C11" t="s">
        <v>10</v>
      </c>
      <c r="D11" s="287">
        <v>334294</v>
      </c>
      <c r="M11" t="s">
        <v>11</v>
      </c>
    </row>
    <row r="13" spans="2:15" ht="15.75" customHeight="1">
      <c r="B13" t="s">
        <v>0</v>
      </c>
      <c r="C13" s="57" t="s">
        <v>61</v>
      </c>
      <c r="D13" s="6"/>
      <c r="E13" s="6"/>
      <c r="F13" s="6"/>
      <c r="G13" s="6"/>
      <c r="H13" s="6"/>
      <c r="I13" s="6"/>
      <c r="J13" s="6"/>
      <c r="K13" s="6"/>
    </row>
    <row r="14" spans="2:15" ht="15.75" customHeight="1">
      <c r="C14" t="s">
        <v>22</v>
      </c>
      <c r="D14" s="58">
        <f>E14-1</f>
        <v>2023</v>
      </c>
      <c r="E14" s="58">
        <f>F14-1</f>
        <v>2024</v>
      </c>
      <c r="F14" s="58">
        <f>YEAR(D10)</f>
        <v>2025</v>
      </c>
      <c r="G14" s="59">
        <f>F14+1</f>
        <v>2026</v>
      </c>
      <c r="H14" s="59">
        <f>G14+1</f>
        <v>2027</v>
      </c>
      <c r="I14" s="59">
        <f>H14+1</f>
        <v>2028</v>
      </c>
      <c r="J14" s="59">
        <f>I14+1</f>
        <v>2029</v>
      </c>
      <c r="K14" s="59">
        <f>J14+1</f>
        <v>2030</v>
      </c>
    </row>
    <row r="15" spans="2:15" ht="15.75" customHeight="1">
      <c r="C15" s="30" t="s">
        <v>23</v>
      </c>
      <c r="D15" s="31">
        <f>EOMONTH(E15,-12)</f>
        <v>45291</v>
      </c>
      <c r="E15" s="31">
        <f>EOMONTH(F15,-12)</f>
        <v>45657</v>
      </c>
      <c r="F15" s="31">
        <f>D10</f>
        <v>46022</v>
      </c>
      <c r="G15" s="31">
        <f>EOMONTH(F15,12)</f>
        <v>46387</v>
      </c>
      <c r="H15" s="31">
        <f>EOMONTH(G15,12)</f>
        <v>46752</v>
      </c>
      <c r="I15" s="31">
        <f>EOMONTH(H15,12)</f>
        <v>47118</v>
      </c>
      <c r="J15" s="31">
        <f>EOMONTH(I15,12)</f>
        <v>47483</v>
      </c>
      <c r="K15" s="31">
        <f>EOMONTH(J15,12)</f>
        <v>47848</v>
      </c>
      <c r="M15" s="57" t="s">
        <v>2</v>
      </c>
      <c r="N15" s="6"/>
      <c r="O15" s="6"/>
    </row>
    <row r="16" spans="2:15" ht="15.75" customHeight="1">
      <c r="C16" s="60"/>
      <c r="D16" s="61"/>
      <c r="E16" s="62"/>
      <c r="F16" s="62"/>
      <c r="G16" s="63"/>
      <c r="H16" s="64"/>
      <c r="I16" s="64"/>
      <c r="J16" s="62"/>
      <c r="K16" s="62"/>
    </row>
    <row r="17" spans="3:14" ht="15.75" customHeight="1">
      <c r="C17" s="32" t="s">
        <v>62</v>
      </c>
      <c r="D17" s="49">
        <v>4049868</v>
      </c>
      <c r="E17" s="49">
        <v>4644739</v>
      </c>
      <c r="F17" s="49">
        <v>5353952</v>
      </c>
      <c r="G17" s="91">
        <f t="shared" ref="G17:K18" si="0">F17*(1+G50)</f>
        <v>6130275.04</v>
      </c>
      <c r="H17" s="91">
        <f t="shared" si="0"/>
        <v>6896559.4199999999</v>
      </c>
      <c r="I17" s="91">
        <f t="shared" si="0"/>
        <v>7689663.7533</v>
      </c>
      <c r="J17" s="91">
        <f t="shared" si="0"/>
        <v>8497078.4473965</v>
      </c>
      <c r="K17" s="91">
        <f t="shared" si="0"/>
        <v>9346786.2921361513</v>
      </c>
    </row>
    <row r="18" spans="3:14" ht="15.75" customHeight="1">
      <c r="C18" s="32" t="s">
        <v>63</v>
      </c>
      <c r="D18" s="49">
        <v>513416</v>
      </c>
      <c r="E18" s="49">
        <v>592422</v>
      </c>
      <c r="F18" s="49">
        <v>708560</v>
      </c>
      <c r="G18" s="91">
        <f t="shared" si="0"/>
        <v>829015.2</v>
      </c>
      <c r="H18" s="91">
        <f t="shared" si="0"/>
        <v>961657.63199999987</v>
      </c>
      <c r="I18" s="91">
        <f t="shared" si="0"/>
        <v>1110714.5649599999</v>
      </c>
      <c r="J18" s="91">
        <f t="shared" si="0"/>
        <v>1282875.3225288</v>
      </c>
      <c r="K18" s="91">
        <f t="shared" si="0"/>
        <v>1475306.6209081199</v>
      </c>
    </row>
    <row r="19" spans="3:14" ht="15.75" customHeight="1">
      <c r="C19" s="25" t="s">
        <v>65</v>
      </c>
      <c r="D19" s="49">
        <f t="shared" ref="D19:K19" si="1">D18+D17</f>
        <v>4563284</v>
      </c>
      <c r="E19" s="49">
        <f t="shared" si="1"/>
        <v>5237161</v>
      </c>
      <c r="F19" s="49">
        <f t="shared" si="1"/>
        <v>6062512</v>
      </c>
      <c r="G19" s="91">
        <f t="shared" si="1"/>
        <v>6959290.2400000002</v>
      </c>
      <c r="H19" s="91">
        <f t="shared" si="1"/>
        <v>7858217.0520000001</v>
      </c>
      <c r="I19" s="91">
        <f t="shared" si="1"/>
        <v>8800378.3182599992</v>
      </c>
      <c r="J19" s="91">
        <f t="shared" si="1"/>
        <v>9779953.7699253</v>
      </c>
      <c r="K19" s="91">
        <f t="shared" si="1"/>
        <v>10822092.913044272</v>
      </c>
    </row>
    <row r="20" spans="3:14" ht="15.75" customHeight="1">
      <c r="C20" t="s">
        <v>66</v>
      </c>
      <c r="D20" s="49">
        <v>-3927965</v>
      </c>
      <c r="E20" s="49">
        <v>-4483019</v>
      </c>
      <c r="F20" s="49">
        <v>-5165060</v>
      </c>
      <c r="G20" s="91">
        <f>G21-G19</f>
        <v>-5901478.1235199999</v>
      </c>
      <c r="H20" s="91">
        <f>H21-H19</f>
        <v>-6640193.4089400005</v>
      </c>
      <c r="I20" s="91">
        <f>I21-I19</f>
        <v>-7392317.7873383993</v>
      </c>
      <c r="J20" s="91">
        <f>J21-J19</f>
        <v>-8185821.3054274758</v>
      </c>
      <c r="K20" s="91">
        <f>K21-K19</f>
        <v>-9036447.5823919661</v>
      </c>
    </row>
    <row r="21" spans="3:14" ht="15.75" customHeight="1">
      <c r="C21" s="72" t="s">
        <v>67</v>
      </c>
      <c r="D21" s="98">
        <f>SUM(D19:D20)</f>
        <v>635319</v>
      </c>
      <c r="E21" s="98">
        <f>SUM(E19:E20)</f>
        <v>754142</v>
      </c>
      <c r="F21" s="98">
        <f>SUM(F19:F20)</f>
        <v>897452</v>
      </c>
      <c r="G21" s="102">
        <f>G19*G52</f>
        <v>1057812.1164800001</v>
      </c>
      <c r="H21" s="102">
        <f>H19*H52</f>
        <v>1218023.6430599999</v>
      </c>
      <c r="I21" s="102">
        <f>I19*I52</f>
        <v>1408060.5309215998</v>
      </c>
      <c r="J21" s="102">
        <f>J19*J52</f>
        <v>1594132.464497824</v>
      </c>
      <c r="K21" s="102">
        <f>K19*K52</f>
        <v>1785645.3306523049</v>
      </c>
    </row>
    <row r="22" spans="3:14" ht="15.75" customHeight="1">
      <c r="C22" t="s">
        <v>68</v>
      </c>
      <c r="D22" s="49">
        <v>-93681</v>
      </c>
      <c r="E22" s="49">
        <v>-95457</v>
      </c>
      <c r="F22" s="49">
        <v>-98681</v>
      </c>
      <c r="G22" s="49">
        <f>-G143*75%</f>
        <v>-91067.25</v>
      </c>
      <c r="H22" s="49">
        <f>-H143*75%</f>
        <v>-83361</v>
      </c>
      <c r="I22" s="49">
        <f>-I143*75%</f>
        <v>-82191.75</v>
      </c>
      <c r="J22" s="49">
        <f>-J143*75%</f>
        <v>-79809</v>
      </c>
      <c r="K22" s="49">
        <f>-K143*75%</f>
        <v>-79032</v>
      </c>
      <c r="M22" t="s">
        <v>69</v>
      </c>
    </row>
    <row r="23" spans="3:14" ht="15.75" customHeight="1">
      <c r="C23" t="s">
        <v>70</v>
      </c>
      <c r="D23" s="49">
        <v>-202766</v>
      </c>
      <c r="E23" s="49">
        <v>-254092</v>
      </c>
      <c r="F23" s="49">
        <v>-247703</v>
      </c>
      <c r="G23" s="91">
        <f>-G19*G53</f>
        <v>-285330.89984000003</v>
      </c>
      <c r="H23" s="91">
        <f>-H19*H53</f>
        <v>-314328.68208</v>
      </c>
      <c r="I23" s="91">
        <f>-I19*I53</f>
        <v>-343214.75441213994</v>
      </c>
      <c r="J23" s="91">
        <f>-J19*J53</f>
        <v>-371638.2432571614</v>
      </c>
      <c r="K23" s="91">
        <f>-K19*K53</f>
        <v>-400417.43778263807</v>
      </c>
    </row>
    <row r="24" spans="3:14" ht="15.75" customHeight="1">
      <c r="C24" t="s">
        <v>71</v>
      </c>
      <c r="D24" s="49">
        <v>-1514</v>
      </c>
      <c r="E24" s="49">
        <v>-1374</v>
      </c>
      <c r="F24" s="49">
        <v>0</v>
      </c>
      <c r="G24" s="91">
        <f>F24</f>
        <v>0</v>
      </c>
      <c r="H24" s="91">
        <f>G24</f>
        <v>0</v>
      </c>
      <c r="I24" s="91">
        <f>H24</f>
        <v>0</v>
      </c>
      <c r="J24" s="91">
        <f>I24</f>
        <v>0</v>
      </c>
      <c r="K24" s="91">
        <f>J24</f>
        <v>0</v>
      </c>
    </row>
    <row r="25" spans="3:14" ht="15.75" customHeight="1">
      <c r="C25" s="72" t="s">
        <v>72</v>
      </c>
      <c r="D25" s="98">
        <f t="shared" ref="D25:K25" si="2">SUM(D21:D24)</f>
        <v>337358</v>
      </c>
      <c r="E25" s="98">
        <f t="shared" si="2"/>
        <v>403219</v>
      </c>
      <c r="F25" s="98">
        <f t="shared" si="2"/>
        <v>551068</v>
      </c>
      <c r="G25" s="102">
        <f t="shared" si="2"/>
        <v>681413.96664</v>
      </c>
      <c r="H25" s="102">
        <f t="shared" si="2"/>
        <v>820333.96097999997</v>
      </c>
      <c r="I25" s="102">
        <f t="shared" si="2"/>
        <v>982654.02650945983</v>
      </c>
      <c r="J25" s="102">
        <f t="shared" si="2"/>
        <v>1142685.2212406625</v>
      </c>
      <c r="K25" s="102">
        <f t="shared" si="2"/>
        <v>1306195.8928696669</v>
      </c>
      <c r="M25" s="72"/>
    </row>
    <row r="26" spans="3:14" ht="15.75" customHeight="1">
      <c r="C26" t="s">
        <v>73</v>
      </c>
      <c r="D26" s="49">
        <v>0</v>
      </c>
      <c r="E26" s="49">
        <v>0</v>
      </c>
      <c r="F26" s="49">
        <v>0</v>
      </c>
      <c r="G26" s="91">
        <f ca="1">G189</f>
        <v>0</v>
      </c>
      <c r="H26" s="91">
        <f ca="1">H189</f>
        <v>0</v>
      </c>
      <c r="I26" s="91">
        <f ca="1">I189</f>
        <v>0</v>
      </c>
      <c r="J26" s="91">
        <f ca="1">J189</f>
        <v>0</v>
      </c>
      <c r="K26" s="91">
        <f ca="1">K189</f>
        <v>0</v>
      </c>
    </row>
    <row r="27" spans="3:14" ht="15.75" customHeight="1">
      <c r="C27" t="s">
        <v>74</v>
      </c>
      <c r="D27" s="49">
        <v>-309645</v>
      </c>
      <c r="E27" s="49">
        <v>-282507</v>
      </c>
      <c r="F27" s="49">
        <v>-174217</v>
      </c>
      <c r="G27" s="91">
        <f ca="1">G175</f>
        <v>-138781.62900000002</v>
      </c>
      <c r="H27" s="91">
        <f ca="1">H175</f>
        <v>-134154.65700000001</v>
      </c>
      <c r="I27" s="91">
        <f ca="1">I175</f>
        <v>-126377.685</v>
      </c>
      <c r="J27" s="91">
        <f ca="1">J175</f>
        <v>-117025.713</v>
      </c>
      <c r="K27" s="91">
        <f ca="1">K175</f>
        <v>-106098.74099999999</v>
      </c>
    </row>
    <row r="28" spans="3:14" ht="15.75" customHeight="1">
      <c r="C28" t="s">
        <v>76</v>
      </c>
      <c r="D28" s="49">
        <v>-19921</v>
      </c>
      <c r="E28" s="49">
        <v>-23700</v>
      </c>
      <c r="F28" s="49">
        <v>0</v>
      </c>
      <c r="G28" s="91">
        <f t="shared" ref="G28:K29" si="3">F28</f>
        <v>0</v>
      </c>
      <c r="H28" s="91">
        <f t="shared" si="3"/>
        <v>0</v>
      </c>
      <c r="I28" s="91">
        <f t="shared" si="3"/>
        <v>0</v>
      </c>
      <c r="J28" s="91">
        <f t="shared" si="3"/>
        <v>0</v>
      </c>
      <c r="K28" s="91">
        <f t="shared" si="3"/>
        <v>0</v>
      </c>
    </row>
    <row r="29" spans="3:14" ht="15.75" customHeight="1">
      <c r="C29" t="s">
        <v>77</v>
      </c>
      <c r="D29" s="49">
        <v>-6182</v>
      </c>
      <c r="E29" s="49">
        <v>-15255</v>
      </c>
      <c r="F29" s="49">
        <v>0</v>
      </c>
      <c r="G29" s="91">
        <f t="shared" si="3"/>
        <v>0</v>
      </c>
      <c r="H29" s="91">
        <f t="shared" si="3"/>
        <v>0</v>
      </c>
      <c r="I29" s="91">
        <f t="shared" si="3"/>
        <v>0</v>
      </c>
      <c r="J29" s="91">
        <f t="shared" si="3"/>
        <v>0</v>
      </c>
      <c r="K29" s="91">
        <f t="shared" si="3"/>
        <v>0</v>
      </c>
    </row>
    <row r="30" spans="3:14" ht="15.75" customHeight="1">
      <c r="C30" t="s">
        <v>78</v>
      </c>
      <c r="D30" s="49">
        <v>3509</v>
      </c>
      <c r="E30" s="49">
        <v>0</v>
      </c>
      <c r="F30" s="49">
        <v>0</v>
      </c>
      <c r="G30" s="91">
        <v>0</v>
      </c>
      <c r="H30" s="91">
        <v>0</v>
      </c>
      <c r="I30" s="91">
        <v>0</v>
      </c>
      <c r="J30" s="91">
        <v>0</v>
      </c>
      <c r="K30" s="91">
        <v>0</v>
      </c>
    </row>
    <row r="31" spans="3:14" ht="15.75" customHeight="1">
      <c r="C31" s="72" t="s">
        <v>79</v>
      </c>
      <c r="D31" s="98">
        <f t="shared" ref="D31:K31" si="4">SUM(D25:D30)</f>
        <v>5119</v>
      </c>
      <c r="E31" s="98">
        <f t="shared" si="4"/>
        <v>81757</v>
      </c>
      <c r="F31" s="98">
        <f t="shared" si="4"/>
        <v>376851</v>
      </c>
      <c r="G31" s="102">
        <f t="shared" ca="1" si="4"/>
        <v>542632.33764000004</v>
      </c>
      <c r="H31" s="102">
        <f t="shared" ca="1" si="4"/>
        <v>686179.30397999997</v>
      </c>
      <c r="I31" s="102">
        <f t="shared" ca="1" si="4"/>
        <v>856276.34150945977</v>
      </c>
      <c r="J31" s="102">
        <f t="shared" ca="1" si="4"/>
        <v>1025659.5082406625</v>
      </c>
      <c r="K31" s="102">
        <f t="shared" ca="1" si="4"/>
        <v>1200097.151869667</v>
      </c>
      <c r="M31" s="72"/>
      <c r="N31" s="72"/>
    </row>
    <row r="32" spans="3:14" ht="15.75" customHeight="1">
      <c r="C32" t="s">
        <v>80</v>
      </c>
      <c r="D32" s="49">
        <v>-40180</v>
      </c>
      <c r="E32" s="49">
        <v>-70783</v>
      </c>
      <c r="F32" s="49">
        <v>-99435</v>
      </c>
      <c r="G32" s="91">
        <f ca="1">-G31*G54</f>
        <v>-135658.08441000001</v>
      </c>
      <c r="H32" s="91">
        <f ca="1">-H31*H54</f>
        <v>-171544.82599499999</v>
      </c>
      <c r="I32" s="91">
        <f ca="1">-I31*I54</f>
        <v>-214069.08537736494</v>
      </c>
      <c r="J32" s="91">
        <f ca="1">-J31*J54</f>
        <v>-256414.87706016563</v>
      </c>
      <c r="K32" s="91">
        <f ca="1">-K31*K54</f>
        <v>-300024.28796741675</v>
      </c>
    </row>
    <row r="33" spans="3:13" ht="15.75" customHeight="1">
      <c r="C33" s="72" t="s">
        <v>81</v>
      </c>
      <c r="D33" s="98">
        <f t="shared" ref="D33:K33" si="5">SUM(D31:D32)</f>
        <v>-35061</v>
      </c>
      <c r="E33" s="98">
        <f t="shared" si="5"/>
        <v>10974</v>
      </c>
      <c r="F33" s="98">
        <f t="shared" si="5"/>
        <v>277416</v>
      </c>
      <c r="G33" s="102">
        <f t="shared" ca="1" si="5"/>
        <v>406974.25323000003</v>
      </c>
      <c r="H33" s="102">
        <f t="shared" ca="1" si="5"/>
        <v>514634.477985</v>
      </c>
      <c r="I33" s="102">
        <f t="shared" ca="1" si="5"/>
        <v>642207.25613209489</v>
      </c>
      <c r="J33" s="102">
        <f t="shared" ca="1" si="5"/>
        <v>769244.63118049689</v>
      </c>
      <c r="K33" s="102">
        <f t="shared" ca="1" si="5"/>
        <v>900072.8639022503</v>
      </c>
      <c r="M33" s="72"/>
    </row>
    <row r="34" spans="3:13" ht="15.75" customHeight="1">
      <c r="C34" s="44"/>
      <c r="D34" s="91"/>
      <c r="E34" s="91"/>
      <c r="F34" s="91"/>
      <c r="G34" s="91"/>
      <c r="H34" s="91"/>
      <c r="I34" s="91"/>
      <c r="J34" s="91"/>
      <c r="K34" s="91"/>
    </row>
    <row r="35" spans="3:13" ht="15.75" customHeight="1">
      <c r="C35" s="95" t="s">
        <v>82</v>
      </c>
      <c r="D35" s="49">
        <v>197104</v>
      </c>
      <c r="E35" s="49">
        <v>188164</v>
      </c>
      <c r="F35" s="49">
        <v>193664</v>
      </c>
      <c r="G35" s="91">
        <f>G145</f>
        <v>193053.32600611763</v>
      </c>
      <c r="H35" s="91">
        <f>H145</f>
        <v>192030.7667549029</v>
      </c>
      <c r="I35" s="91">
        <f>I145</f>
        <v>200169.20950052125</v>
      </c>
      <c r="J35" s="91">
        <f>J145</f>
        <v>207074.74759428744</v>
      </c>
      <c r="K35" s="91">
        <f>K145</f>
        <v>216765.23894484044</v>
      </c>
    </row>
    <row r="36" spans="3:13" ht="15.75" customHeight="1">
      <c r="C36" s="97" t="s">
        <v>83</v>
      </c>
      <c r="D36" s="98">
        <f t="shared" ref="D36:K36" si="6">D25+D35</f>
        <v>534462</v>
      </c>
      <c r="E36" s="98">
        <f t="shared" si="6"/>
        <v>591383</v>
      </c>
      <c r="F36" s="98">
        <f t="shared" si="6"/>
        <v>744732</v>
      </c>
      <c r="G36" s="102">
        <f t="shared" si="6"/>
        <v>874467.29264611762</v>
      </c>
      <c r="H36" s="102">
        <f t="shared" si="6"/>
        <v>1012364.7277349029</v>
      </c>
      <c r="I36" s="102">
        <f t="shared" si="6"/>
        <v>1182823.236009981</v>
      </c>
      <c r="J36" s="102">
        <f t="shared" si="6"/>
        <v>1349759.9688349499</v>
      </c>
      <c r="K36" s="102">
        <f t="shared" si="6"/>
        <v>1522961.1318145073</v>
      </c>
      <c r="M36" s="72"/>
    </row>
    <row r="37" spans="3:13" ht="15.75" customHeight="1">
      <c r="C37" s="95" t="s">
        <v>85</v>
      </c>
      <c r="D37" s="49"/>
      <c r="E37" s="49">
        <v>17376</v>
      </c>
      <c r="F37" s="49">
        <v>13237</v>
      </c>
      <c r="G37" s="49"/>
      <c r="H37" s="49"/>
      <c r="I37" s="49"/>
      <c r="J37" s="49"/>
      <c r="K37" s="49"/>
    </row>
    <row r="38" spans="3:13" ht="15.75" customHeight="1">
      <c r="C38" s="95" t="s">
        <v>87</v>
      </c>
      <c r="D38" s="49"/>
      <c r="E38" s="49">
        <v>43239</v>
      </c>
      <c r="F38" s="49">
        <v>26028</v>
      </c>
      <c r="G38" s="49"/>
      <c r="H38" s="49"/>
      <c r="I38" s="49"/>
      <c r="J38" s="49"/>
      <c r="K38" s="49"/>
    </row>
    <row r="39" spans="3:13" ht="15.75" customHeight="1">
      <c r="C39" s="95" t="s">
        <v>88</v>
      </c>
      <c r="D39" s="49"/>
      <c r="E39" s="49">
        <v>26909</v>
      </c>
      <c r="F39" s="49">
        <v>0</v>
      </c>
      <c r="G39" s="49"/>
      <c r="H39" s="49"/>
      <c r="I39" s="49"/>
      <c r="J39" s="49"/>
      <c r="K39" s="49"/>
    </row>
    <row r="40" spans="3:13" ht="15.75" customHeight="1">
      <c r="C40" s="95" t="s">
        <v>89</v>
      </c>
      <c r="D40" s="49"/>
      <c r="E40" s="49">
        <v>2782</v>
      </c>
      <c r="F40" s="49">
        <v>5601</v>
      </c>
      <c r="G40" s="49"/>
      <c r="H40" s="49"/>
      <c r="I40" s="49"/>
      <c r="J40" s="49"/>
      <c r="K40" s="49"/>
    </row>
    <row r="41" spans="3:13" ht="15.75" customHeight="1">
      <c r="C41" s="95" t="s">
        <v>90</v>
      </c>
      <c r="D41" s="49"/>
      <c r="E41" s="49">
        <v>1374</v>
      </c>
      <c r="F41" s="49">
        <v>0</v>
      </c>
      <c r="G41" s="49"/>
      <c r="H41" s="49"/>
      <c r="I41" s="49"/>
      <c r="J41" s="49"/>
      <c r="K41" s="49"/>
    </row>
    <row r="42" spans="3:13" ht="15.75" customHeight="1">
      <c r="C42" t="s">
        <v>378</v>
      </c>
      <c r="D42" s="49"/>
      <c r="E42" s="49">
        <v>0</v>
      </c>
      <c r="F42" s="49">
        <v>-3000</v>
      </c>
      <c r="G42" s="49"/>
      <c r="H42" s="49"/>
      <c r="I42" s="49"/>
      <c r="J42" s="49"/>
      <c r="K42" s="49"/>
    </row>
    <row r="43" spans="3:13" ht="15.75" customHeight="1">
      <c r="C43" t="s">
        <v>92</v>
      </c>
      <c r="D43" s="49"/>
      <c r="E43" s="49">
        <v>0</v>
      </c>
      <c r="F43" s="49">
        <v>2764</v>
      </c>
      <c r="G43" s="49"/>
      <c r="H43" s="49"/>
      <c r="I43" s="49"/>
      <c r="J43" s="49"/>
      <c r="K43" s="49"/>
    </row>
    <row r="44" spans="3:13" ht="15.75" customHeight="1">
      <c r="C44" t="s">
        <v>93</v>
      </c>
      <c r="D44" s="49"/>
      <c r="E44" s="49">
        <v>0</v>
      </c>
      <c r="F44" s="49">
        <v>4990</v>
      </c>
      <c r="G44" s="49"/>
      <c r="H44" s="49"/>
      <c r="I44" s="49"/>
      <c r="J44" s="49"/>
      <c r="K44" s="49"/>
    </row>
    <row r="45" spans="3:13" ht="15.75" customHeight="1">
      <c r="C45" t="s">
        <v>94</v>
      </c>
      <c r="D45" s="49"/>
      <c r="E45" s="49">
        <v>7470</v>
      </c>
      <c r="F45" s="49">
        <v>13820</v>
      </c>
      <c r="G45" s="49"/>
      <c r="H45" s="49"/>
      <c r="I45" s="49"/>
      <c r="J45" s="49"/>
      <c r="K45" s="49"/>
    </row>
    <row r="46" spans="3:13" ht="15.75" customHeight="1">
      <c r="C46" s="74" t="s">
        <v>95</v>
      </c>
      <c r="D46" s="288">
        <v>561100</v>
      </c>
      <c r="E46" s="288">
        <f>SUM(E36:E45)</f>
        <v>690533</v>
      </c>
      <c r="F46" s="288">
        <f>SUM(F36:F45)</f>
        <v>808172</v>
      </c>
      <c r="G46" s="288">
        <f>G19*G55</f>
        <v>904707.73120000004</v>
      </c>
      <c r="H46" s="288">
        <f>H19*H55</f>
        <v>1021568.2167600001</v>
      </c>
      <c r="I46" s="288">
        <f>I19*I55</f>
        <v>1144049.1813737999</v>
      </c>
      <c r="J46" s="288">
        <f>J19*J55</f>
        <v>1271393.9900902892</v>
      </c>
      <c r="K46" s="288">
        <f>K19*K55</f>
        <v>1406872.0786957555</v>
      </c>
    </row>
    <row r="47" spans="3:13" ht="15.75" customHeight="1"/>
    <row r="48" spans="3:13" ht="15.75" customHeight="1">
      <c r="C48" s="26" t="s">
        <v>21</v>
      </c>
    </row>
    <row r="49" spans="2:15" ht="15.75" customHeight="1">
      <c r="C49" s="44" t="s">
        <v>24</v>
      </c>
      <c r="D49" s="42"/>
      <c r="E49" s="42">
        <f t="shared" ref="E49:K49" si="7">(E19-D19)/D19</f>
        <v>0.14767369289310067</v>
      </c>
      <c r="F49" s="42">
        <f t="shared" si="7"/>
        <v>0.157595116896349</v>
      </c>
      <c r="G49" s="42">
        <f t="shared" si="7"/>
        <v>0.14792189112367946</v>
      </c>
      <c r="H49" s="42">
        <f t="shared" si="7"/>
        <v>0.12916932345100754</v>
      </c>
      <c r="I49" s="42">
        <f t="shared" si="7"/>
        <v>0.11989504235190461</v>
      </c>
      <c r="J49" s="42">
        <f t="shared" si="7"/>
        <v>0.1113106069125198</v>
      </c>
      <c r="K49" s="42">
        <f t="shared" si="7"/>
        <v>0.10655869829606893</v>
      </c>
      <c r="M49" t="s">
        <v>25</v>
      </c>
    </row>
    <row r="50" spans="2:15" ht="15.75" customHeight="1">
      <c r="C50" s="293" t="s">
        <v>26</v>
      </c>
      <c r="D50" s="42"/>
      <c r="E50" s="42">
        <f>(E17-D17)/D17</f>
        <v>0.14688651580742879</v>
      </c>
      <c r="F50" s="42">
        <f>(F17-E17)/E17</f>
        <v>0.15269167976930459</v>
      </c>
      <c r="G50" s="43">
        <v>0.14499999999999999</v>
      </c>
      <c r="H50" s="43">
        <v>0.125</v>
      </c>
      <c r="I50" s="43">
        <v>0.115</v>
      </c>
      <c r="J50" s="43">
        <v>0.105</v>
      </c>
      <c r="K50" s="43">
        <v>0.1</v>
      </c>
      <c r="O50" s="43"/>
    </row>
    <row r="51" spans="2:15" ht="15.75" customHeight="1">
      <c r="C51" s="293" t="s">
        <v>29</v>
      </c>
      <c r="D51" s="42"/>
      <c r="E51" s="42">
        <f>(E18-D18)/D18</f>
        <v>0.15388301104757157</v>
      </c>
      <c r="F51" s="42">
        <f>(F18-E18)/E18</f>
        <v>0.19603930981631337</v>
      </c>
      <c r="G51" s="43">
        <v>0.17</v>
      </c>
      <c r="H51" s="43">
        <v>0.16</v>
      </c>
      <c r="I51" s="43">
        <v>0.155</v>
      </c>
      <c r="J51" s="43">
        <v>0.155</v>
      </c>
      <c r="K51" s="43">
        <v>0.15</v>
      </c>
      <c r="O51" s="43"/>
    </row>
    <row r="52" spans="2:15" ht="15.75" customHeight="1">
      <c r="C52" s="44" t="s">
        <v>32</v>
      </c>
      <c r="D52" s="42">
        <f>D21/D19</f>
        <v>0.13922407634501818</v>
      </c>
      <c r="E52" s="42">
        <f>E21/E19</f>
        <v>0.14399824637814265</v>
      </c>
      <c r="F52" s="42">
        <f>F21/F19</f>
        <v>0.14803302657380307</v>
      </c>
      <c r="G52" s="43">
        <v>0.152</v>
      </c>
      <c r="H52" s="43">
        <v>0.155</v>
      </c>
      <c r="I52" s="43">
        <v>0.16</v>
      </c>
      <c r="J52" s="43">
        <v>0.16300000000000001</v>
      </c>
      <c r="K52" s="43">
        <v>0.16500000000000001</v>
      </c>
      <c r="M52" t="s">
        <v>33</v>
      </c>
      <c r="O52" s="43"/>
    </row>
    <row r="53" spans="2:15" ht="15.75" customHeight="1">
      <c r="C53" s="44" t="s">
        <v>36</v>
      </c>
      <c r="D53" s="42">
        <f>-D23/D19</f>
        <v>4.4434227630802729E-2</v>
      </c>
      <c r="E53" s="42">
        <f>-E23/E19</f>
        <v>4.8517125977223158E-2</v>
      </c>
      <c r="F53" s="42">
        <f>-F23/F19</f>
        <v>4.0858145930267847E-2</v>
      </c>
      <c r="G53" s="43">
        <v>4.1000000000000002E-2</v>
      </c>
      <c r="H53" s="43">
        <v>0.04</v>
      </c>
      <c r="I53" s="43">
        <v>3.9E-2</v>
      </c>
      <c r="J53" s="43">
        <v>3.7999999999999999E-2</v>
      </c>
      <c r="K53" s="43">
        <v>3.6999999999999998E-2</v>
      </c>
      <c r="M53" t="s">
        <v>37</v>
      </c>
      <c r="O53" s="43"/>
    </row>
    <row r="54" spans="2:15" ht="15.75" customHeight="1">
      <c r="C54" s="44" t="s">
        <v>40</v>
      </c>
      <c r="D54" s="42">
        <f>-D32/D31</f>
        <v>7.8491892947841375</v>
      </c>
      <c r="E54" s="42">
        <f>-E32/E31</f>
        <v>0.86577296133664394</v>
      </c>
      <c r="F54" s="42">
        <f>-F32/F31</f>
        <v>0.26385759889186972</v>
      </c>
      <c r="G54" s="43">
        <v>0.25</v>
      </c>
      <c r="H54" s="43">
        <v>0.25</v>
      </c>
      <c r="I54" s="43">
        <v>0.25</v>
      </c>
      <c r="J54" s="43">
        <v>0.25</v>
      </c>
      <c r="K54" s="43">
        <v>0.25</v>
      </c>
      <c r="M54" t="s">
        <v>41</v>
      </c>
      <c r="O54" s="43"/>
    </row>
    <row r="55" spans="2:15" ht="15.75" customHeight="1">
      <c r="C55" s="44" t="s">
        <v>43</v>
      </c>
      <c r="D55" s="45">
        <f>D46/D19</f>
        <v>0.12295969306315364</v>
      </c>
      <c r="E55" s="45">
        <f>E46/E19</f>
        <v>0.13185254377323896</v>
      </c>
      <c r="F55" s="45">
        <f>F46/F19</f>
        <v>0.13330645778515574</v>
      </c>
      <c r="G55" s="46">
        <v>0.13</v>
      </c>
      <c r="H55" s="46">
        <v>0.13</v>
      </c>
      <c r="I55" s="46">
        <v>0.13</v>
      </c>
      <c r="J55" s="46">
        <v>0.13</v>
      </c>
      <c r="K55" s="46">
        <v>0.13</v>
      </c>
      <c r="O55" s="43"/>
    </row>
    <row r="56" spans="2:15" ht="15.75" customHeight="1"/>
    <row r="57" spans="2:15" ht="15.75" customHeight="1">
      <c r="B57" t="s">
        <v>0</v>
      </c>
      <c r="C57" s="57" t="s">
        <v>97</v>
      </c>
      <c r="D57" s="31"/>
      <c r="E57" s="31"/>
      <c r="F57" s="31"/>
      <c r="G57" s="6"/>
      <c r="H57" s="6"/>
      <c r="I57" s="6"/>
      <c r="J57" s="6"/>
      <c r="K57" s="6"/>
    </row>
    <row r="58" spans="2:15" ht="15.75" customHeight="1">
      <c r="C58" s="79" t="str">
        <f t="shared" ref="C58:K58" si="8">C14</f>
        <v xml:space="preserve">Fiscal year  </v>
      </c>
      <c r="D58" s="80">
        <f t="shared" si="8"/>
        <v>2023</v>
      </c>
      <c r="E58" s="81">
        <f t="shared" si="8"/>
        <v>2024</v>
      </c>
      <c r="F58" s="81">
        <f t="shared" si="8"/>
        <v>2025</v>
      </c>
      <c r="G58" s="83">
        <f t="shared" si="8"/>
        <v>2026</v>
      </c>
      <c r="H58" s="83">
        <f t="shared" si="8"/>
        <v>2027</v>
      </c>
      <c r="I58" s="83">
        <f t="shared" si="8"/>
        <v>2028</v>
      </c>
      <c r="J58" s="83">
        <f t="shared" si="8"/>
        <v>2029</v>
      </c>
      <c r="K58" s="83">
        <f t="shared" si="8"/>
        <v>2030</v>
      </c>
    </row>
    <row r="59" spans="2:15" ht="15.75" customHeight="1">
      <c r="C59" s="6" t="str">
        <f t="shared" ref="C59:K59" si="9">C15</f>
        <v>Fiscal year end date</v>
      </c>
      <c r="D59" s="84">
        <f t="shared" si="9"/>
        <v>45291</v>
      </c>
      <c r="E59" s="85">
        <f t="shared" si="9"/>
        <v>45657</v>
      </c>
      <c r="F59" s="85">
        <f t="shared" si="9"/>
        <v>46022</v>
      </c>
      <c r="G59" s="85">
        <f t="shared" si="9"/>
        <v>46387</v>
      </c>
      <c r="H59" s="85">
        <f t="shared" si="9"/>
        <v>46752</v>
      </c>
      <c r="I59" s="85">
        <f t="shared" si="9"/>
        <v>47118</v>
      </c>
      <c r="J59" s="85">
        <f t="shared" si="9"/>
        <v>47483</v>
      </c>
      <c r="K59" s="85">
        <f t="shared" si="9"/>
        <v>47848</v>
      </c>
    </row>
    <row r="60" spans="2:15" ht="15.75" customHeight="1">
      <c r="C60" s="25" t="s">
        <v>99</v>
      </c>
      <c r="D60" s="86"/>
      <c r="E60" s="86"/>
      <c r="F60" s="86"/>
      <c r="G60" s="86"/>
      <c r="H60" s="86"/>
      <c r="I60" s="86"/>
      <c r="J60" s="86"/>
      <c r="K60" s="86"/>
    </row>
    <row r="61" spans="2:15" ht="15.75" customHeight="1">
      <c r="C61" s="25" t="s">
        <v>100</v>
      </c>
      <c r="D61" s="86"/>
      <c r="E61" s="86"/>
      <c r="F61" s="86"/>
      <c r="G61" s="86"/>
      <c r="H61" s="86"/>
      <c r="I61" s="86"/>
      <c r="J61" s="86"/>
      <c r="K61" s="86"/>
    </row>
    <row r="62" spans="2:15" ht="15.75" customHeight="1">
      <c r="C62" s="89" t="s">
        <v>101</v>
      </c>
      <c r="D62" s="49"/>
      <c r="E62" s="49">
        <v>102581</v>
      </c>
      <c r="F62" s="49">
        <v>289717</v>
      </c>
      <c r="G62" s="91">
        <f ca="1">F62+G129</f>
        <v>497415.35874840332</v>
      </c>
      <c r="H62" s="91">
        <f ca="1">G62+H129</f>
        <v>574045.4596248595</v>
      </c>
      <c r="I62" s="91">
        <f ca="1">H62+I129</f>
        <v>764702.09523822111</v>
      </c>
      <c r="J62" s="91">
        <f ca="1">I62+J129</f>
        <v>992451.03340521094</v>
      </c>
      <c r="K62" s="91">
        <f ca="1">J62+K129</f>
        <v>1332625.2754472443</v>
      </c>
    </row>
    <row r="63" spans="2:15" ht="15.75" customHeight="1">
      <c r="C63" s="89" t="s">
        <v>102</v>
      </c>
      <c r="D63" s="49"/>
      <c r="E63" s="49">
        <v>580668</v>
      </c>
      <c r="F63" s="49">
        <v>654390</v>
      </c>
      <c r="G63" s="91">
        <f>F63*(1+G49)</f>
        <v>751188.60633242456</v>
      </c>
      <c r="H63" s="91">
        <f>G63*(1+H49)</f>
        <v>848219.13039648917</v>
      </c>
      <c r="I63" s="91">
        <f>H63*(1+I49)</f>
        <v>949916.39895907184</v>
      </c>
      <c r="J63" s="91">
        <f>I63*(1+J49)</f>
        <v>1055652.1698433615</v>
      </c>
      <c r="K63" s="91">
        <f>J63*(1+K49)</f>
        <v>1168141.0909152906</v>
      </c>
    </row>
    <row r="64" spans="2:15" ht="15.75" customHeight="1">
      <c r="C64" s="89" t="s">
        <v>103</v>
      </c>
      <c r="D64" s="49"/>
      <c r="E64" s="49">
        <v>915200</v>
      </c>
      <c r="F64" s="49">
        <v>1071703</v>
      </c>
      <c r="G64" s="91">
        <f>F64*(1+G49)</f>
        <v>1230231.3344829206</v>
      </c>
      <c r="H64" s="91">
        <f>G64*(1+H49)</f>
        <v>1389139.4836463097</v>
      </c>
      <c r="I64" s="91">
        <f>H64*(1+I49)</f>
        <v>1555690.4208707868</v>
      </c>
      <c r="J64" s="91">
        <f>I64*(1+J49)</f>
        <v>1728855.2657859074</v>
      </c>
      <c r="K64" s="91">
        <f>J64*(1+K49)</f>
        <v>1913079.832450358</v>
      </c>
    </row>
    <row r="65" spans="3:16" ht="15.75" customHeight="1">
      <c r="C65" s="89" t="s">
        <v>104</v>
      </c>
      <c r="D65" s="49"/>
      <c r="E65" s="49">
        <v>847018</v>
      </c>
      <c r="F65" s="49">
        <v>827691</v>
      </c>
      <c r="G65" s="91">
        <f>F65*(1+((G20-F20)/F20))</f>
        <v>945700.59777319001</v>
      </c>
      <c r="H65" s="91">
        <f>G65*(1+((H20-G20)/G20))</f>
        <v>1064078.3113533934</v>
      </c>
      <c r="I65" s="91">
        <f>H65*(1+((I20-H20)/H20))</f>
        <v>1184604.8064727045</v>
      </c>
      <c r="J65" s="91">
        <f>I65*(1+((J20-I20)/I20))</f>
        <v>1311762.2296954095</v>
      </c>
      <c r="K65" s="91">
        <f>J65*(1+((K20-J20)/J20))</f>
        <v>1448073.4659263566</v>
      </c>
      <c r="P65" s="91"/>
    </row>
    <row r="66" spans="3:16" ht="15.75" customHeight="1">
      <c r="C66" s="89" t="s">
        <v>105</v>
      </c>
      <c r="D66" s="49"/>
      <c r="E66" s="49">
        <v>29707</v>
      </c>
      <c r="F66" s="49">
        <v>42776</v>
      </c>
      <c r="G66" s="91">
        <f>F66*(1+G49)</f>
        <v>49103.50681470651</v>
      </c>
      <c r="H66" s="91">
        <f>G66*(1+H49)</f>
        <v>55446.173569034094</v>
      </c>
      <c r="I66" s="91">
        <f>H66*(1+I49)</f>
        <v>62093.894897344486</v>
      </c>
      <c r="J66" s="91">
        <f>I66*(1+J49)</f>
        <v>69005.604023930122</v>
      </c>
      <c r="K66" s="91">
        <f>J66*(1+K49)</f>
        <v>76358.751363854084</v>
      </c>
    </row>
    <row r="67" spans="3:16" ht="15.75" customHeight="1">
      <c r="C67" s="89" t="s">
        <v>106</v>
      </c>
      <c r="D67" s="49"/>
      <c r="E67" s="49">
        <v>9960</v>
      </c>
      <c r="F67" s="49">
        <v>10182</v>
      </c>
      <c r="G67" s="91">
        <f>F67</f>
        <v>10182</v>
      </c>
      <c r="H67" s="91">
        <f>G67</f>
        <v>10182</v>
      </c>
      <c r="I67" s="91">
        <f>H67</f>
        <v>10182</v>
      </c>
      <c r="J67" s="91">
        <f>I67</f>
        <v>10182</v>
      </c>
      <c r="K67" s="91">
        <f>J67</f>
        <v>10182</v>
      </c>
    </row>
    <row r="68" spans="3:16" ht="15.75" customHeight="1">
      <c r="C68" s="93" t="s">
        <v>107</v>
      </c>
      <c r="D68" s="49"/>
      <c r="E68" s="98">
        <f t="shared" ref="E68:K68" si="10">SUM(E62:E67)</f>
        <v>2485134</v>
      </c>
      <c r="F68" s="98">
        <f t="shared" si="10"/>
        <v>2896459</v>
      </c>
      <c r="G68" s="98">
        <f t="shared" ca="1" si="10"/>
        <v>3483821.4041516455</v>
      </c>
      <c r="H68" s="98">
        <f t="shared" ca="1" si="10"/>
        <v>3941110.5585900862</v>
      </c>
      <c r="I68" s="98">
        <f t="shared" ca="1" si="10"/>
        <v>4527189.616438129</v>
      </c>
      <c r="J68" s="98">
        <f t="shared" ca="1" si="10"/>
        <v>5167908.3027538192</v>
      </c>
      <c r="K68" s="98">
        <f t="shared" ca="1" si="10"/>
        <v>5948460.4161031032</v>
      </c>
    </row>
    <row r="69" spans="3:16" ht="15.75" customHeight="1">
      <c r="C69" t="s">
        <v>108</v>
      </c>
      <c r="D69" s="49"/>
      <c r="E69" s="49">
        <v>568607</v>
      </c>
      <c r="F69" s="49">
        <v>579971</v>
      </c>
      <c r="G69" s="91">
        <f>G138</f>
        <v>602929.43782247358</v>
      </c>
      <c r="H69" s="91">
        <f>H138</f>
        <v>628853.4015259681</v>
      </c>
      <c r="I69" s="91">
        <f>I138</f>
        <v>657885.51995562238</v>
      </c>
      <c r="J69" s="91">
        <f>J138</f>
        <v>690149.22110763751</v>
      </c>
      <c r="K69" s="91">
        <f>K138</f>
        <v>725850.90025662479</v>
      </c>
      <c r="O69" s="91"/>
    </row>
    <row r="70" spans="3:16" ht="15.75" customHeight="1">
      <c r="C70" s="95" t="s">
        <v>109</v>
      </c>
      <c r="D70" s="49"/>
      <c r="E70" s="49">
        <v>172206</v>
      </c>
      <c r="F70" s="49">
        <v>222151</v>
      </c>
      <c r="G70" s="91">
        <f>F70</f>
        <v>222151</v>
      </c>
      <c r="H70" s="91">
        <f>G70</f>
        <v>222151</v>
      </c>
      <c r="I70" s="91">
        <f>H70</f>
        <v>222151</v>
      </c>
      <c r="J70" s="91">
        <f>I70</f>
        <v>222151</v>
      </c>
      <c r="K70" s="91">
        <f>J70</f>
        <v>222151</v>
      </c>
      <c r="O70" s="91"/>
    </row>
    <row r="71" spans="3:16" ht="15.75" customHeight="1">
      <c r="C71" s="95" t="s">
        <v>110</v>
      </c>
      <c r="D71" s="49"/>
      <c r="E71" s="49">
        <v>1004701</v>
      </c>
      <c r="F71" s="49">
        <v>920432</v>
      </c>
      <c r="G71" s="91">
        <f>F71 - G143*0.6425 + (-G119)*0.4</f>
        <v>842417.72250000003</v>
      </c>
      <c r="H71" s="91">
        <f>G71 - H143*0.6425 + (-H119)*0.4</f>
        <v>801005.13250000007</v>
      </c>
      <c r="I71" s="91">
        <f>H71 - I143*0.6425 + (-I119)*0.4</f>
        <v>760594.20000000007</v>
      </c>
      <c r="J71" s="91">
        <f>I71 - J143*0.6425 + (-J119)*0.4</f>
        <v>732224.49000000011</v>
      </c>
      <c r="K71" s="91">
        <f>J71 - K143*0.6425 + (-K119)*0.4</f>
        <v>704520.41000000015</v>
      </c>
      <c r="M71" t="s">
        <v>111</v>
      </c>
      <c r="O71" s="91"/>
    </row>
    <row r="72" spans="3:16" ht="15.75" customHeight="1">
      <c r="C72" s="95" t="s">
        <v>112</v>
      </c>
      <c r="D72" s="49"/>
      <c r="E72" s="49">
        <v>291487</v>
      </c>
      <c r="F72" s="49">
        <v>244877</v>
      </c>
      <c r="G72" s="91">
        <f>F72 - G143*0.3575 + (-G122)</f>
        <v>228468.2775</v>
      </c>
      <c r="H72" s="91">
        <f>G72 - H143*0.3575 + (-H122)</f>
        <v>215732.86749999999</v>
      </c>
      <c r="I72" s="91">
        <f>H72 - I143*0.3575 + (-I122)</f>
        <v>203554.8</v>
      </c>
      <c r="J72" s="91">
        <f>I72 - J143*0.3575 + (-J122)</f>
        <v>192512.50999999998</v>
      </c>
      <c r="K72" s="91">
        <f>J72 - K143*0.3575 + (-K122)</f>
        <v>181840.58999999997</v>
      </c>
      <c r="M72" t="s">
        <v>113</v>
      </c>
    </row>
    <row r="73" spans="3:16" ht="15.75" customHeight="1">
      <c r="C73" s="95" t="s">
        <v>114</v>
      </c>
      <c r="D73" s="49"/>
      <c r="E73" s="49">
        <v>1685970</v>
      </c>
      <c r="F73" s="49">
        <v>1684255</v>
      </c>
      <c r="G73" s="91">
        <f>F73 + (-G119)*0.6</f>
        <v>1684255</v>
      </c>
      <c r="H73" s="91">
        <f>G73 + (-H119)*0.6</f>
        <v>1729255</v>
      </c>
      <c r="I73" s="91">
        <f>H73 + (-I119)*0.6</f>
        <v>1774255</v>
      </c>
      <c r="J73" s="91">
        <f>I73 + (-J119)*0.6</f>
        <v>1834255</v>
      </c>
      <c r="K73" s="91">
        <f>J73 + (-K119)*0.6</f>
        <v>1894255</v>
      </c>
      <c r="M73" t="s">
        <v>336</v>
      </c>
    </row>
    <row r="74" spans="3:16" ht="15.75" customHeight="1">
      <c r="C74" s="95" t="s">
        <v>116</v>
      </c>
      <c r="D74" s="49"/>
      <c r="E74" s="49">
        <v>1079</v>
      </c>
      <c r="F74" s="49">
        <v>2832</v>
      </c>
      <c r="G74" s="91">
        <f>F74</f>
        <v>2832</v>
      </c>
      <c r="H74" s="91">
        <f>G74</f>
        <v>2832</v>
      </c>
      <c r="I74" s="91">
        <f>H74</f>
        <v>2832</v>
      </c>
      <c r="J74" s="91">
        <f>I74</f>
        <v>2832</v>
      </c>
      <c r="K74" s="91">
        <f>J74</f>
        <v>2832</v>
      </c>
    </row>
    <row r="75" spans="3:16" ht="15.75" customHeight="1">
      <c r="C75" t="s">
        <v>117</v>
      </c>
      <c r="D75" s="49"/>
      <c r="E75" s="49">
        <v>4417</v>
      </c>
      <c r="F75" s="49">
        <v>6434</v>
      </c>
      <c r="G75" s="91">
        <f>F75*(1+G49)</f>
        <v>7385.7294474897535</v>
      </c>
      <c r="H75" s="91">
        <f>G75*(1+H49)</f>
        <v>8339.7391234141887</v>
      </c>
      <c r="I75" s="91">
        <f>H75*(1+I49)</f>
        <v>9339.6324988197684</v>
      </c>
      <c r="J75" s="91">
        <f>I75*(1+J49)</f>
        <v>10379.232660603291</v>
      </c>
      <c r="K75" s="91">
        <f>J75*(1+K49)</f>
        <v>11485.230182229221</v>
      </c>
    </row>
    <row r="76" spans="3:16" ht="15.75" customHeight="1">
      <c r="C76" s="97" t="s">
        <v>118</v>
      </c>
      <c r="D76" s="98"/>
      <c r="E76" s="98">
        <f t="shared" ref="E76:K76" si="11">SUM(E68:E75)</f>
        <v>6213601</v>
      </c>
      <c r="F76" s="98">
        <f t="shared" si="11"/>
        <v>6557411</v>
      </c>
      <c r="G76" s="98">
        <f t="shared" ca="1" si="11"/>
        <v>7074260.5714216083</v>
      </c>
      <c r="H76" s="98">
        <f t="shared" ca="1" si="11"/>
        <v>7549279.6992394682</v>
      </c>
      <c r="I76" s="98">
        <f t="shared" ca="1" si="11"/>
        <v>8157801.7688925704</v>
      </c>
      <c r="J76" s="98">
        <f t="shared" ca="1" si="11"/>
        <v>8852411.7565220594</v>
      </c>
      <c r="K76" s="98">
        <f t="shared" ca="1" si="11"/>
        <v>9691395.5465419572</v>
      </c>
    </row>
    <row r="77" spans="3:16" ht="15.75" customHeight="1">
      <c r="C77" s="74" t="s">
        <v>119</v>
      </c>
      <c r="D77" s="91"/>
      <c r="G77" s="91"/>
      <c r="H77" s="91"/>
      <c r="I77" s="91"/>
      <c r="J77" s="91"/>
      <c r="K77" s="91"/>
    </row>
    <row r="78" spans="3:16" ht="15.75" customHeight="1">
      <c r="C78" s="74" t="s">
        <v>120</v>
      </c>
      <c r="D78" s="91"/>
      <c r="G78" s="91"/>
      <c r="H78" s="91"/>
      <c r="I78" s="91"/>
      <c r="J78" s="91"/>
      <c r="K78" s="91"/>
    </row>
    <row r="79" spans="3:16" ht="15.75" customHeight="1">
      <c r="C79" s="89" t="s">
        <v>121</v>
      </c>
      <c r="D79" s="49"/>
      <c r="E79" s="49">
        <v>645701</v>
      </c>
      <c r="F79" s="49">
        <v>679772</v>
      </c>
      <c r="G79" s="91">
        <f>F79*(1+(G20-F20)/F20)</f>
        <v>776691.76872706949</v>
      </c>
      <c r="H79" s="91">
        <f>G79*(1+(H20-G20)/G20)</f>
        <v>873913.86624394718</v>
      </c>
      <c r="I79" s="91">
        <f>H79*(1+(I20-H20)/H20)</f>
        <v>972900.73047255957</v>
      </c>
      <c r="J79" s="91">
        <f>I79*(1+(J20-I20)/I20)</f>
        <v>1077333.4908854971</v>
      </c>
      <c r="K79" s="91">
        <f>J79*(1+(K20-J20)/J20)</f>
        <v>1189284.1604894716</v>
      </c>
    </row>
    <row r="80" spans="3:16" ht="15.75" customHeight="1">
      <c r="C80" s="89" t="s">
        <v>122</v>
      </c>
      <c r="D80" s="49"/>
      <c r="E80" s="49">
        <v>99572</v>
      </c>
      <c r="F80" s="49">
        <v>91499</v>
      </c>
      <c r="G80" s="91">
        <f>F80*(1+G49)</f>
        <v>105033.70511592555</v>
      </c>
      <c r="H80" s="91">
        <f>G80*(1+H49)</f>
        <v>118600.83774530228</v>
      </c>
      <c r="I80" s="91">
        <f>H80*(1+I49)</f>
        <v>132820.49020974667</v>
      </c>
      <c r="J80" s="91">
        <f>I80*(1+J49)</f>
        <v>147604.81958541195</v>
      </c>
      <c r="K80" s="91">
        <f>J80*(1+K49)</f>
        <v>163333.39702265954</v>
      </c>
    </row>
    <row r="81" spans="3:11" ht="15.75" customHeight="1">
      <c r="C81" s="89" t="s">
        <v>123</v>
      </c>
      <c r="D81" s="49"/>
      <c r="E81" s="49">
        <v>79134</v>
      </c>
      <c r="F81" s="49">
        <v>74008</v>
      </c>
      <c r="G81" s="91">
        <f>F81*(1+G49)</f>
        <v>84955.403318281271</v>
      </c>
      <c r="H81" s="91">
        <f>G81*(1+H49)</f>
        <v>95929.035288411149</v>
      </c>
      <c r="I81" s="91">
        <f>H81*(1+I49)</f>
        <v>107430.45103709254</v>
      </c>
      <c r="J81" s="91">
        <f>I81*(1+J49)</f>
        <v>119388.59974291705</v>
      </c>
      <c r="K81" s="91">
        <f>J81*(1+K49)</f>
        <v>132110.49352291267</v>
      </c>
    </row>
    <row r="82" spans="3:11" ht="15.75" customHeight="1">
      <c r="C82" s="89" t="s">
        <v>124</v>
      </c>
      <c r="D82" s="49"/>
      <c r="E82" s="49">
        <v>17663</v>
      </c>
      <c r="F82" s="49">
        <v>22308</v>
      </c>
      <c r="G82" s="91">
        <f t="shared" ref="G82:K83" si="12">F82</f>
        <v>22308</v>
      </c>
      <c r="H82" s="91">
        <f t="shared" si="12"/>
        <v>22308</v>
      </c>
      <c r="I82" s="91">
        <f t="shared" si="12"/>
        <v>22308</v>
      </c>
      <c r="J82" s="91">
        <f t="shared" si="12"/>
        <v>22308</v>
      </c>
      <c r="K82" s="91">
        <f t="shared" si="12"/>
        <v>22308</v>
      </c>
    </row>
    <row r="83" spans="3:11" ht="15.75" customHeight="1">
      <c r="C83" s="89" t="s">
        <v>125</v>
      </c>
      <c r="D83" s="49"/>
      <c r="E83" s="49">
        <v>1345</v>
      </c>
      <c r="F83" s="49">
        <v>438</v>
      </c>
      <c r="G83" s="91">
        <f t="shared" si="12"/>
        <v>438</v>
      </c>
      <c r="H83" s="91">
        <f t="shared" si="12"/>
        <v>438</v>
      </c>
      <c r="I83" s="91">
        <f t="shared" si="12"/>
        <v>438</v>
      </c>
      <c r="J83" s="91">
        <f t="shared" si="12"/>
        <v>438</v>
      </c>
      <c r="K83" s="91">
        <f t="shared" si="12"/>
        <v>438</v>
      </c>
    </row>
    <row r="84" spans="3:11" ht="15.75" customHeight="1">
      <c r="C84" s="89" t="s">
        <v>126</v>
      </c>
      <c r="D84" s="49"/>
      <c r="E84" s="49">
        <v>400025</v>
      </c>
      <c r="F84" s="49">
        <v>411321</v>
      </c>
      <c r="G84" s="91">
        <f>F84*(1+G49)</f>
        <v>472164.38017888297</v>
      </c>
      <c r="H84" s="91">
        <f>G84*(1+H49)</f>
        <v>533153.53372425365</v>
      </c>
      <c r="I84" s="91">
        <f>H84*(1+I49)</f>
        <v>597075.99923019065</v>
      </c>
      <c r="J84" s="91">
        <f>I84*(1+J49)</f>
        <v>663536.8910774024</v>
      </c>
      <c r="K84" s="91">
        <f>J84*(1+K49)</f>
        <v>734242.5184620308</v>
      </c>
    </row>
    <row r="85" spans="3:11" ht="15.75" customHeight="1">
      <c r="C85" s="89" t="s">
        <v>127</v>
      </c>
      <c r="D85" s="49"/>
      <c r="E85" s="49">
        <v>6655</v>
      </c>
      <c r="F85" s="49">
        <v>13547</v>
      </c>
      <c r="G85" s="91">
        <f t="shared" ref="G85:K86" si="13">F85</f>
        <v>13547</v>
      </c>
      <c r="H85" s="91">
        <f t="shared" si="13"/>
        <v>13547</v>
      </c>
      <c r="I85" s="91">
        <f t="shared" si="13"/>
        <v>13547</v>
      </c>
      <c r="J85" s="91">
        <f t="shared" si="13"/>
        <v>13547</v>
      </c>
      <c r="K85" s="91">
        <f t="shared" si="13"/>
        <v>13547</v>
      </c>
    </row>
    <row r="86" spans="3:11" ht="15.75" customHeight="1">
      <c r="C86" s="89" t="s">
        <v>128</v>
      </c>
      <c r="D86" s="49"/>
      <c r="E86" s="49">
        <v>23449</v>
      </c>
      <c r="F86" s="49">
        <v>23444</v>
      </c>
      <c r="G86" s="91">
        <f t="shared" si="13"/>
        <v>23444</v>
      </c>
      <c r="H86" s="91">
        <f t="shared" si="13"/>
        <v>23444</v>
      </c>
      <c r="I86" s="91">
        <f t="shared" si="13"/>
        <v>23444</v>
      </c>
      <c r="J86" s="91">
        <f t="shared" si="13"/>
        <v>23444</v>
      </c>
      <c r="K86" s="91">
        <f t="shared" si="13"/>
        <v>23444</v>
      </c>
    </row>
    <row r="87" spans="3:11" ht="15.75" customHeight="1">
      <c r="C87" s="93" t="s">
        <v>130</v>
      </c>
      <c r="D87" s="49"/>
      <c r="E87" s="98">
        <f t="shared" ref="E87:K87" si="14">SUM(E79:E86)</f>
        <v>1273544</v>
      </c>
      <c r="F87" s="98">
        <f t="shared" si="14"/>
        <v>1316337</v>
      </c>
      <c r="G87" s="98">
        <f t="shared" si="14"/>
        <v>1498582.2573401593</v>
      </c>
      <c r="H87" s="98">
        <f t="shared" si="14"/>
        <v>1681334.2730019144</v>
      </c>
      <c r="I87" s="98">
        <f t="shared" si="14"/>
        <v>1869964.6709495895</v>
      </c>
      <c r="J87" s="98">
        <f t="shared" si="14"/>
        <v>2067600.8012912287</v>
      </c>
      <c r="K87" s="98">
        <f t="shared" si="14"/>
        <v>2278707.5694970745</v>
      </c>
    </row>
    <row r="88" spans="3:11" ht="16.5" customHeight="1">
      <c r="C88" s="95" t="s">
        <v>131</v>
      </c>
      <c r="D88" s="49"/>
      <c r="E88" s="49">
        <v>2207977</v>
      </c>
      <c r="F88" s="49">
        <v>2191161</v>
      </c>
      <c r="G88" s="91">
        <f ca="1">F88-F86+G168+G128</f>
        <v>2167717</v>
      </c>
      <c r="H88" s="91">
        <f ca="1">G88-G86+H168-G168+H128</f>
        <v>2044273</v>
      </c>
      <c r="I88" s="91">
        <f ca="1">H88-H86+I168-H168+I128</f>
        <v>1920829</v>
      </c>
      <c r="J88" s="91">
        <f ca="1">I88-I86+J168-I168+J128</f>
        <v>1747385</v>
      </c>
      <c r="K88" s="91">
        <f ca="1">J88-J86+K168-J168+K128</f>
        <v>1573941</v>
      </c>
    </row>
    <row r="89" spans="3:11" ht="15.75" customHeight="1">
      <c r="C89" s="95" t="s">
        <v>133</v>
      </c>
      <c r="D89" s="49"/>
      <c r="E89" s="49">
        <v>164224</v>
      </c>
      <c r="F89" s="49">
        <v>212365</v>
      </c>
      <c r="G89" s="91">
        <f t="shared" ref="G89:K91" si="15">F89</f>
        <v>212365</v>
      </c>
      <c r="H89" s="91">
        <f t="shared" si="15"/>
        <v>212365</v>
      </c>
      <c r="I89" s="91">
        <f t="shared" si="15"/>
        <v>212365</v>
      </c>
      <c r="J89" s="91">
        <f t="shared" si="15"/>
        <v>212365</v>
      </c>
      <c r="K89" s="91">
        <f t="shared" si="15"/>
        <v>212365</v>
      </c>
    </row>
    <row r="90" spans="3:11" ht="15.75" customHeight="1">
      <c r="C90" s="95" t="s">
        <v>134</v>
      </c>
      <c r="D90" s="49"/>
      <c r="E90" s="49">
        <v>169824</v>
      </c>
      <c r="F90" s="49">
        <v>157206</v>
      </c>
      <c r="G90" s="91">
        <f t="shared" si="15"/>
        <v>157206</v>
      </c>
      <c r="H90" s="91">
        <f t="shared" si="15"/>
        <v>157206</v>
      </c>
      <c r="I90" s="91">
        <f t="shared" si="15"/>
        <v>157206</v>
      </c>
      <c r="J90" s="91">
        <f t="shared" si="15"/>
        <v>157206</v>
      </c>
      <c r="K90" s="91">
        <f t="shared" si="15"/>
        <v>157206</v>
      </c>
    </row>
    <row r="91" spans="3:11" ht="15.75" customHeight="1">
      <c r="C91" s="95" t="s">
        <v>135</v>
      </c>
      <c r="D91" s="49"/>
      <c r="E91" s="49">
        <v>0</v>
      </c>
      <c r="F91" s="49">
        <v>5770</v>
      </c>
      <c r="G91" s="91">
        <f t="shared" si="15"/>
        <v>5770</v>
      </c>
      <c r="H91" s="91">
        <f t="shared" si="15"/>
        <v>5770</v>
      </c>
      <c r="I91" s="91">
        <f t="shared" si="15"/>
        <v>5770</v>
      </c>
      <c r="J91" s="91">
        <f t="shared" si="15"/>
        <v>5770</v>
      </c>
      <c r="K91" s="91">
        <f t="shared" si="15"/>
        <v>5770</v>
      </c>
    </row>
    <row r="92" spans="3:11" ht="15.75" customHeight="1">
      <c r="C92" s="95" t="s">
        <v>136</v>
      </c>
      <c r="D92" s="49"/>
      <c r="E92" s="49">
        <v>24628</v>
      </c>
      <c r="F92" s="49">
        <v>7261</v>
      </c>
      <c r="G92" s="91">
        <f>F92*(1+G49)</f>
        <v>8335.0608514490359</v>
      </c>
      <c r="H92" s="91">
        <f>G92*(1+H49)</f>
        <v>9411.6950225536875</v>
      </c>
      <c r="I92" s="91">
        <f>H92*(1+I49)</f>
        <v>10540.110595885972</v>
      </c>
      <c r="J92" s="91">
        <f>I92*(1+J49)</f>
        <v>11713.33670323912</v>
      </c>
      <c r="K92" s="91">
        <f>J92*(1+K49)</f>
        <v>12961.494615039848</v>
      </c>
    </row>
    <row r="93" spans="3:11" ht="15.75" customHeight="1">
      <c r="C93" s="97" t="s">
        <v>137</v>
      </c>
      <c r="D93" s="98"/>
      <c r="E93" s="98">
        <f t="shared" ref="E93:K93" si="16">SUM(E87:E92)</f>
        <v>3840197</v>
      </c>
      <c r="F93" s="98">
        <f t="shared" si="16"/>
        <v>3890100</v>
      </c>
      <c r="G93" s="98">
        <f t="shared" ca="1" si="16"/>
        <v>4049975.3181916084</v>
      </c>
      <c r="H93" s="98">
        <f t="shared" ca="1" si="16"/>
        <v>4110359.968024468</v>
      </c>
      <c r="I93" s="98">
        <f t="shared" ca="1" si="16"/>
        <v>4176674.7815454756</v>
      </c>
      <c r="J93" s="98">
        <f t="shared" ca="1" si="16"/>
        <v>4202040.1379944682</v>
      </c>
      <c r="K93" s="98">
        <f t="shared" ca="1" si="16"/>
        <v>4240951.0641121147</v>
      </c>
    </row>
    <row r="94" spans="3:11" ht="15.75" customHeight="1">
      <c r="C94" s="97" t="s">
        <v>337</v>
      </c>
      <c r="D94" s="98"/>
      <c r="E94" s="49">
        <v>0</v>
      </c>
      <c r="F94" s="49">
        <v>0</v>
      </c>
      <c r="G94" s="102">
        <v>0</v>
      </c>
      <c r="H94" s="102">
        <v>0</v>
      </c>
      <c r="I94" s="102">
        <v>0</v>
      </c>
      <c r="J94" s="102">
        <v>0</v>
      </c>
      <c r="K94" s="102">
        <v>0</v>
      </c>
    </row>
    <row r="95" spans="3:11" ht="16.5" customHeight="1">
      <c r="C95" s="97" t="s">
        <v>139</v>
      </c>
      <c r="D95" s="98"/>
      <c r="E95" s="98"/>
      <c r="F95" s="98"/>
      <c r="G95" s="91"/>
      <c r="H95" s="91"/>
      <c r="I95" s="91"/>
      <c r="J95" s="91"/>
      <c r="K95" s="91"/>
    </row>
    <row r="96" spans="3:11" ht="15.75" customHeight="1">
      <c r="C96" s="89" t="s">
        <v>140</v>
      </c>
      <c r="D96" s="49"/>
      <c r="E96" s="49">
        <v>3345</v>
      </c>
      <c r="F96" s="49">
        <v>3345</v>
      </c>
      <c r="G96" s="91">
        <f>F96</f>
        <v>3345</v>
      </c>
      <c r="H96" s="91">
        <f>G96</f>
        <v>3345</v>
      </c>
      <c r="I96" s="91">
        <f>H96</f>
        <v>3345</v>
      </c>
      <c r="J96" s="91">
        <f>I96</f>
        <v>3345</v>
      </c>
      <c r="K96" s="91">
        <f>J96</f>
        <v>3345</v>
      </c>
    </row>
    <row r="97" spans="2:13" ht="15.75" customHeight="1">
      <c r="C97" s="89" t="s">
        <v>141</v>
      </c>
      <c r="D97" s="49"/>
      <c r="E97" s="49">
        <v>0</v>
      </c>
      <c r="F97" s="49">
        <v>0</v>
      </c>
      <c r="G97" s="91">
        <v>0</v>
      </c>
      <c r="H97" s="91">
        <v>0</v>
      </c>
      <c r="I97" s="91">
        <v>0</v>
      </c>
      <c r="J97" s="91">
        <v>0</v>
      </c>
      <c r="K97" s="91">
        <v>0</v>
      </c>
    </row>
    <row r="98" spans="2:13" ht="15.75" customHeight="1">
      <c r="C98" s="89" t="s">
        <v>379</v>
      </c>
      <c r="D98" s="49"/>
      <c r="E98" s="49">
        <v>3944802</v>
      </c>
      <c r="F98" s="49">
        <v>3958039</v>
      </c>
      <c r="G98" s="91">
        <f>F98+G37</f>
        <v>3958039</v>
      </c>
      <c r="H98" s="91">
        <f>G98+H37</f>
        <v>3958039</v>
      </c>
      <c r="I98" s="91">
        <f>H98+I37</f>
        <v>3958039</v>
      </c>
      <c r="J98" s="91">
        <f>I98+J37</f>
        <v>3958039</v>
      </c>
      <c r="K98" s="91">
        <f>J98+K37</f>
        <v>3958039</v>
      </c>
    </row>
    <row r="99" spans="2:13" ht="15.75" customHeight="1">
      <c r="C99" s="89" t="s">
        <v>143</v>
      </c>
      <c r="D99" s="49"/>
      <c r="E99" s="49">
        <v>-1563321</v>
      </c>
      <c r="F99" s="49">
        <v>-1285904</v>
      </c>
      <c r="G99" s="91">
        <f ca="1">F99+G33</f>
        <v>-878929.74676999997</v>
      </c>
      <c r="H99" s="91">
        <f ca="1">G99+H33</f>
        <v>-364295.26878499996</v>
      </c>
      <c r="I99" s="91">
        <f ca="1">H99+I33</f>
        <v>277911.98734709492</v>
      </c>
      <c r="J99" s="91">
        <f ca="1">I99+J33</f>
        <v>1047156.6185275918</v>
      </c>
      <c r="K99" s="91">
        <f ca="1">J99+K33</f>
        <v>1947229.482429842</v>
      </c>
    </row>
    <row r="100" spans="2:13" ht="15.75" customHeight="1">
      <c r="C100" s="89" t="s">
        <v>144</v>
      </c>
      <c r="D100" s="101"/>
      <c r="E100" s="49">
        <v>-11422</v>
      </c>
      <c r="F100" s="49">
        <v>-8169</v>
      </c>
      <c r="G100" s="91">
        <f>F100</f>
        <v>-8169</v>
      </c>
      <c r="H100" s="91">
        <f>G100</f>
        <v>-8169</v>
      </c>
      <c r="I100" s="91">
        <f>H100</f>
        <v>-8169</v>
      </c>
      <c r="J100" s="91">
        <f>I100</f>
        <v>-8169</v>
      </c>
      <c r="K100" s="91">
        <f>J100</f>
        <v>-8169</v>
      </c>
    </row>
    <row r="101" spans="2:13" ht="15.75" customHeight="1">
      <c r="C101" s="89" t="s">
        <v>145</v>
      </c>
      <c r="D101" s="49"/>
      <c r="E101" s="49">
        <v>0</v>
      </c>
      <c r="F101" s="49">
        <v>0</v>
      </c>
      <c r="G101" s="91">
        <f>F101+G125</f>
        <v>-50000</v>
      </c>
      <c r="H101" s="91">
        <f>G101+H125</f>
        <v>-150000</v>
      </c>
      <c r="I101" s="91">
        <f>H101+I125</f>
        <v>-250000</v>
      </c>
      <c r="J101" s="91">
        <f>I101+J125</f>
        <v>-350000</v>
      </c>
      <c r="K101" s="91">
        <f>J101+K125</f>
        <v>-450000</v>
      </c>
    </row>
    <row r="102" spans="2:13" ht="15.75" customHeight="1">
      <c r="C102" s="93" t="s">
        <v>146</v>
      </c>
      <c r="D102" s="102"/>
      <c r="E102" s="102">
        <f t="shared" ref="E102:K102" si="17">SUM(E96:E101)</f>
        <v>2373404</v>
      </c>
      <c r="F102" s="102">
        <f t="shared" si="17"/>
        <v>2667311</v>
      </c>
      <c r="G102" s="102">
        <f t="shared" ca="1" si="17"/>
        <v>3024285.2532299999</v>
      </c>
      <c r="H102" s="102">
        <f t="shared" ca="1" si="17"/>
        <v>3438919.7312150002</v>
      </c>
      <c r="I102" s="102">
        <f t="shared" ca="1" si="17"/>
        <v>3981126.9873470953</v>
      </c>
      <c r="J102" s="102">
        <f t="shared" ca="1" si="17"/>
        <v>4650371.6185275922</v>
      </c>
      <c r="K102" s="102">
        <f t="shared" ca="1" si="17"/>
        <v>5450444.4824298415</v>
      </c>
    </row>
    <row r="103" spans="2:13" ht="15.75" customHeight="1">
      <c r="C103" s="97" t="s">
        <v>147</v>
      </c>
      <c r="D103" s="91"/>
      <c r="E103" s="91">
        <f t="shared" ref="E103:K103" si="18">SUM(E102,E93)</f>
        <v>6213601</v>
      </c>
      <c r="F103" s="91">
        <f t="shared" si="18"/>
        <v>6557411</v>
      </c>
      <c r="G103" s="91">
        <f t="shared" ca="1" si="18"/>
        <v>7074260.5714216083</v>
      </c>
      <c r="H103" s="91">
        <f t="shared" ca="1" si="18"/>
        <v>7549279.6992394682</v>
      </c>
      <c r="I103" s="91">
        <f t="shared" ca="1" si="18"/>
        <v>8157801.7688925713</v>
      </c>
      <c r="J103" s="91">
        <f t="shared" ca="1" si="18"/>
        <v>8852411.7565220594</v>
      </c>
      <c r="K103" s="91">
        <f t="shared" ca="1" si="18"/>
        <v>9691395.5465419553</v>
      </c>
    </row>
    <row r="104" spans="2:13" ht="15.75" customHeight="1">
      <c r="C104" s="97"/>
      <c r="D104" s="91"/>
      <c r="E104" s="91"/>
      <c r="F104" s="91"/>
    </row>
    <row r="105" spans="2:13" ht="15.75" customHeight="1">
      <c r="C105" s="60" t="s">
        <v>148</v>
      </c>
      <c r="D105" s="103"/>
      <c r="E105" s="103">
        <f t="shared" ref="E105:K105" si="19">E76-E103</f>
        <v>0</v>
      </c>
      <c r="F105" s="103">
        <f t="shared" si="19"/>
        <v>0</v>
      </c>
      <c r="G105" s="103">
        <f t="shared" ca="1" si="19"/>
        <v>0</v>
      </c>
      <c r="H105" s="103">
        <f t="shared" ca="1" si="19"/>
        <v>0</v>
      </c>
      <c r="I105" s="103">
        <f t="shared" ca="1" si="19"/>
        <v>0</v>
      </c>
      <c r="J105" s="103">
        <f t="shared" ca="1" si="19"/>
        <v>0</v>
      </c>
      <c r="K105" s="103">
        <f t="shared" ca="1" si="19"/>
        <v>0</v>
      </c>
    </row>
    <row r="106" spans="2:13" ht="15.75" customHeight="1">
      <c r="E106" s="91"/>
      <c r="F106" s="91"/>
      <c r="H106" s="91"/>
      <c r="I106" s="91"/>
      <c r="J106" s="91"/>
      <c r="K106" s="91"/>
    </row>
    <row r="107" spans="2:13" ht="15.75" customHeight="1">
      <c r="B107" t="s">
        <v>0</v>
      </c>
      <c r="C107" s="57" t="s">
        <v>149</v>
      </c>
      <c r="D107" s="31"/>
      <c r="E107" s="31"/>
      <c r="F107" s="31"/>
      <c r="G107" s="31"/>
      <c r="H107" s="31"/>
      <c r="I107" s="31"/>
      <c r="J107" s="31"/>
      <c r="K107" s="31"/>
    </row>
    <row r="108" spans="2:13" ht="15.75" customHeight="1">
      <c r="C108" s="79" t="str">
        <f>C14</f>
        <v xml:space="preserve">Fiscal year  </v>
      </c>
      <c r="D108" s="81"/>
      <c r="E108" s="81"/>
      <c r="F108" s="81"/>
      <c r="G108" s="83">
        <f t="shared" ref="G108:K109" si="20">G14</f>
        <v>2026</v>
      </c>
      <c r="H108" s="83">
        <f t="shared" si="20"/>
        <v>2027</v>
      </c>
      <c r="I108" s="83">
        <f t="shared" si="20"/>
        <v>2028</v>
      </c>
      <c r="J108" s="83">
        <f t="shared" si="20"/>
        <v>2029</v>
      </c>
      <c r="K108" s="83">
        <f t="shared" si="20"/>
        <v>2030</v>
      </c>
    </row>
    <row r="109" spans="2:13" ht="15.75" customHeight="1">
      <c r="C109" s="6" t="str">
        <f>C15</f>
        <v>Fiscal year end date</v>
      </c>
      <c r="D109" s="85"/>
      <c r="E109" s="85"/>
      <c r="F109" s="85"/>
      <c r="G109" s="85">
        <f t="shared" si="20"/>
        <v>46387</v>
      </c>
      <c r="H109" s="85">
        <f t="shared" si="20"/>
        <v>46752</v>
      </c>
      <c r="I109" s="85">
        <f t="shared" si="20"/>
        <v>47118</v>
      </c>
      <c r="J109" s="85">
        <f t="shared" si="20"/>
        <v>47483</v>
      </c>
      <c r="K109" s="85">
        <f t="shared" si="20"/>
        <v>47848</v>
      </c>
    </row>
    <row r="111" spans="2:13" ht="15.75" customHeight="1">
      <c r="C111" t="s">
        <v>81</v>
      </c>
      <c r="D111" s="104"/>
      <c r="E111" s="104"/>
      <c r="F111" s="104"/>
      <c r="G111" s="91">
        <f ca="1">G33</f>
        <v>406974.25323000003</v>
      </c>
      <c r="H111" s="91">
        <f ca="1">H33</f>
        <v>514634.477985</v>
      </c>
      <c r="I111" s="91">
        <f ca="1">I33</f>
        <v>642207.25613209489</v>
      </c>
      <c r="J111" s="91">
        <f ca="1">J33</f>
        <v>769244.63118049689</v>
      </c>
      <c r="K111" s="91">
        <f ca="1">K33</f>
        <v>900072.8639022503</v>
      </c>
      <c r="M111" s="72"/>
    </row>
    <row r="112" spans="2:13" ht="15.75" customHeight="1">
      <c r="C112" t="s">
        <v>150</v>
      </c>
      <c r="D112" s="104"/>
      <c r="E112" s="104"/>
      <c r="F112" s="104"/>
      <c r="G112" s="91">
        <f>G35</f>
        <v>193053.32600611763</v>
      </c>
      <c r="H112" s="91">
        <f>H35</f>
        <v>192030.7667549029</v>
      </c>
      <c r="I112" s="91">
        <f>I35</f>
        <v>200169.20950052125</v>
      </c>
      <c r="J112" s="91">
        <f>J35</f>
        <v>207074.74759428744</v>
      </c>
      <c r="K112" s="91">
        <f>K35</f>
        <v>216765.23894484044</v>
      </c>
    </row>
    <row r="113" spans="3:13" ht="15.75" customHeight="1">
      <c r="C113" t="s">
        <v>85</v>
      </c>
      <c r="D113" s="104"/>
      <c r="E113" s="104"/>
      <c r="F113" s="104"/>
      <c r="G113" s="91">
        <f>G37</f>
        <v>0</v>
      </c>
      <c r="H113" s="91">
        <f>H37</f>
        <v>0</v>
      </c>
      <c r="I113" s="91">
        <f>I37</f>
        <v>0</v>
      </c>
      <c r="J113" s="91">
        <f>J37</f>
        <v>0</v>
      </c>
      <c r="K113" s="91">
        <f>K37</f>
        <v>0</v>
      </c>
    </row>
    <row r="114" spans="3:13" ht="15.75" customHeight="1">
      <c r="C114" t="s">
        <v>152</v>
      </c>
      <c r="D114" s="91"/>
      <c r="E114" s="91"/>
      <c r="F114" s="91"/>
      <c r="G114" s="91">
        <f>F63+F64+F65+F66-G63-G64-G65-G66</f>
        <v>-379664.04540324165</v>
      </c>
      <c r="H114" s="91">
        <f>G63+G64+G65+G66-H63-H64-H65-H66</f>
        <v>-380659.05356198456</v>
      </c>
      <c r="I114" s="91">
        <f>H63+H64+H65+H66-I63-I64-I65-I66</f>
        <v>-395422.42223468091</v>
      </c>
      <c r="J114" s="91">
        <f>I63+I64+I65+I66-J63-J64-J65-J66</f>
        <v>-412969.74814870069</v>
      </c>
      <c r="K114" s="91">
        <f>J63+J64+J65+J66-K63-K64-K65-K66</f>
        <v>-440377.87130725052</v>
      </c>
    </row>
    <row r="115" spans="3:13" ht="15.75" customHeight="1">
      <c r="C115" t="s">
        <v>153</v>
      </c>
      <c r="D115" s="91"/>
      <c r="E115" s="91"/>
      <c r="F115" s="91"/>
      <c r="G115" s="91">
        <f>G79+G80+G81+G84-F79-F80-F81-F84</f>
        <v>182245.25734015927</v>
      </c>
      <c r="H115" s="91">
        <f>H79+H80+H81+H84-G79-G80-G81-G84</f>
        <v>182752.01566175511</v>
      </c>
      <c r="I115" s="91">
        <f>I79+I80+I81+I84-H79-H80-H81-H84</f>
        <v>188630.3979476752</v>
      </c>
      <c r="J115" s="91">
        <f>J79+J80+J81+J84-I79-I80-I81-I84</f>
        <v>197636.13034163928</v>
      </c>
      <c r="K115" s="91">
        <f>K79+K80+K81+K84-J79-J80-J81-J84</f>
        <v>211106.76820584608</v>
      </c>
    </row>
    <row r="116" spans="3:13" ht="15.75" customHeight="1">
      <c r="C116" t="s">
        <v>117</v>
      </c>
      <c r="G116" s="91">
        <f>-G75+F75</f>
        <v>-951.72944748975351</v>
      </c>
      <c r="H116" s="91">
        <f>-H75+G75</f>
        <v>-954.00967592443521</v>
      </c>
      <c r="I116" s="91">
        <f>-I75+H75</f>
        <v>-999.89337540557972</v>
      </c>
      <c r="J116" s="91">
        <f>-J75+I75</f>
        <v>-1039.6001617835227</v>
      </c>
      <c r="K116" s="91">
        <f>-K75+J75</f>
        <v>-1105.9975216259299</v>
      </c>
    </row>
    <row r="117" spans="3:13" ht="15.75" customHeight="1">
      <c r="C117" t="s">
        <v>136</v>
      </c>
      <c r="G117" s="91">
        <f>G92-F92</f>
        <v>1074.0608514490359</v>
      </c>
      <c r="H117" s="91">
        <f>H92-G92</f>
        <v>1076.6341711046516</v>
      </c>
      <c r="I117" s="91">
        <f>I92-H92</f>
        <v>1128.4155733322841</v>
      </c>
      <c r="J117" s="91">
        <f>J92-I92</f>
        <v>1173.2261073531481</v>
      </c>
      <c r="K117" s="91">
        <f>K92-J92</f>
        <v>1248.1579118007285</v>
      </c>
      <c r="M117" s="72"/>
    </row>
    <row r="118" spans="3:13" ht="15.75" customHeight="1">
      <c r="C118" s="72" t="s">
        <v>154</v>
      </c>
      <c r="G118" s="102">
        <f ca="1">SUM(G111:G117)</f>
        <v>402731.12257699453</v>
      </c>
      <c r="H118" s="102">
        <f ca="1">SUM(H111:H117)</f>
        <v>508880.83133485366</v>
      </c>
      <c r="I118" s="102">
        <f ca="1">SUM(I111:I117)</f>
        <v>635712.96354353707</v>
      </c>
      <c r="J118" s="102">
        <f ca="1">SUM(J111:J117)</f>
        <v>761119.38691329246</v>
      </c>
      <c r="K118" s="102">
        <f ca="1">SUM(K111:K117)</f>
        <v>887709.16013586102</v>
      </c>
    </row>
    <row r="119" spans="3:13" ht="15.75" customHeight="1">
      <c r="C119" t="s">
        <v>155</v>
      </c>
      <c r="G119" s="49">
        <v>0</v>
      </c>
      <c r="H119" s="49">
        <v>-75000</v>
      </c>
      <c r="I119" s="49">
        <v>-75000</v>
      </c>
      <c r="J119" s="49">
        <v>-100000</v>
      </c>
      <c r="K119" s="49">
        <v>-100000</v>
      </c>
      <c r="M119" t="s">
        <v>156</v>
      </c>
    </row>
    <row r="120" spans="3:13" ht="15.75" customHeight="1">
      <c r="C120" t="s">
        <v>157</v>
      </c>
      <c r="G120" s="91">
        <f>-G136</f>
        <v>-94588.763828591196</v>
      </c>
      <c r="H120" s="91">
        <f>-H136</f>
        <v>-106806.73045839745</v>
      </c>
      <c r="I120" s="91">
        <f>-I136</f>
        <v>-119612.32793017547</v>
      </c>
      <c r="J120" s="91">
        <f>-J136</f>
        <v>-132926.44874630266</v>
      </c>
      <c r="K120" s="91">
        <f>-K136</f>
        <v>-147090.91809382779</v>
      </c>
    </row>
    <row r="121" spans="3:13" ht="15.75" customHeight="1">
      <c r="C121" s="72" t="s">
        <v>158</v>
      </c>
      <c r="G121" s="102">
        <f>G120+G119+G122</f>
        <v>-121588.7638285912</v>
      </c>
      <c r="H121" s="102">
        <f>H120+H119+H122</f>
        <v>-208806.73045839745</v>
      </c>
      <c r="I121" s="102">
        <f>I120+I119+I122</f>
        <v>-221612.32793017547</v>
      </c>
      <c r="J121" s="102">
        <f>J120+J119+J122</f>
        <v>-259926.44874630266</v>
      </c>
      <c r="K121" s="102">
        <f>K120+K119+K122</f>
        <v>-274090.91809382779</v>
      </c>
    </row>
    <row r="122" spans="3:13" ht="15.75" customHeight="1">
      <c r="C122" t="s">
        <v>159</v>
      </c>
      <c r="G122" s="49">
        <v>-27000</v>
      </c>
      <c r="H122" s="49">
        <v>-27000</v>
      </c>
      <c r="I122" s="49">
        <v>-27000</v>
      </c>
      <c r="J122" s="49">
        <v>-27000</v>
      </c>
      <c r="K122" s="49">
        <v>-27000</v>
      </c>
      <c r="M122" t="s">
        <v>160</v>
      </c>
    </row>
    <row r="123" spans="3:13" ht="15.75" customHeight="1">
      <c r="C123" t="s">
        <v>131</v>
      </c>
      <c r="G123" s="91">
        <f>-G86</f>
        <v>-23444</v>
      </c>
      <c r="H123" s="91">
        <f>-H86</f>
        <v>-23444</v>
      </c>
      <c r="I123" s="91">
        <f>-I86</f>
        <v>-23444</v>
      </c>
      <c r="J123" s="91">
        <f>-J86</f>
        <v>-23444</v>
      </c>
      <c r="K123" s="91">
        <f>-K86</f>
        <v>-23444</v>
      </c>
    </row>
    <row r="124" spans="3:13" ht="15.75" customHeight="1">
      <c r="C124" t="s">
        <v>138</v>
      </c>
      <c r="G124" s="91">
        <v>0</v>
      </c>
      <c r="H124" s="91">
        <v>0</v>
      </c>
      <c r="I124" s="91">
        <v>0</v>
      </c>
      <c r="J124" s="91">
        <v>0</v>
      </c>
      <c r="K124" s="91">
        <v>0</v>
      </c>
    </row>
    <row r="125" spans="3:13" ht="18" customHeight="1">
      <c r="C125" t="s">
        <v>161</v>
      </c>
      <c r="F125" s="289"/>
      <c r="G125" s="49">
        <v>-50000</v>
      </c>
      <c r="H125" s="49">
        <v>-100000</v>
      </c>
      <c r="I125" s="49">
        <v>-100000</v>
      </c>
      <c r="J125" s="49">
        <v>-100000</v>
      </c>
      <c r="K125" s="49">
        <v>-100000</v>
      </c>
      <c r="M125" t="s">
        <v>162</v>
      </c>
    </row>
    <row r="126" spans="3:13" ht="15.75" customHeight="1">
      <c r="C126" t="s">
        <v>163</v>
      </c>
      <c r="G126" s="91">
        <v>0</v>
      </c>
      <c r="H126" s="91">
        <v>0</v>
      </c>
      <c r="I126" s="91">
        <v>0</v>
      </c>
      <c r="J126" s="91">
        <v>0</v>
      </c>
      <c r="K126" s="91">
        <v>0</v>
      </c>
    </row>
    <row r="127" spans="3:13" ht="15.75" customHeight="1">
      <c r="C127" s="72" t="s">
        <v>164</v>
      </c>
      <c r="G127" s="91">
        <f>SUM(G123:G126)+G128</f>
        <v>-73444</v>
      </c>
      <c r="H127" s="91">
        <f>SUM(H123:H126)+H128</f>
        <v>-223444</v>
      </c>
      <c r="I127" s="91">
        <f>SUM(I123:I126)+I128</f>
        <v>-223444</v>
      </c>
      <c r="J127" s="91">
        <f>SUM(J123:J126)+J128</f>
        <v>-273444</v>
      </c>
      <c r="K127" s="91">
        <f>SUM(K123:K126)+K128</f>
        <v>-273444</v>
      </c>
    </row>
    <row r="128" spans="3:13" ht="15.75" customHeight="1">
      <c r="C128" t="s">
        <v>165</v>
      </c>
      <c r="G128" s="49">
        <v>0</v>
      </c>
      <c r="H128" s="49">
        <v>-100000</v>
      </c>
      <c r="I128" s="49">
        <v>-100000</v>
      </c>
      <c r="J128" s="49">
        <v>-150000</v>
      </c>
      <c r="K128" s="49">
        <v>-150000</v>
      </c>
      <c r="M128" t="s">
        <v>166</v>
      </c>
    </row>
    <row r="129" spans="2:15" ht="15.75" customHeight="1">
      <c r="C129" s="72" t="s">
        <v>167</v>
      </c>
      <c r="G129" s="98">
        <f ca="1">G118+G121+G127</f>
        <v>207698.35874840332</v>
      </c>
      <c r="H129" s="98">
        <f ca="1">H118+H121+H127</f>
        <v>76630.100876456243</v>
      </c>
      <c r="I129" s="98">
        <f ca="1">I118+I121+I127</f>
        <v>190656.63561336161</v>
      </c>
      <c r="J129" s="98">
        <f ca="1">J118+J121+J127</f>
        <v>227748.93816698983</v>
      </c>
      <c r="K129" s="98">
        <f ca="1">K118+K121+K127</f>
        <v>340174.24204203323</v>
      </c>
    </row>
    <row r="131" spans="2:15" ht="15.75" customHeight="1">
      <c r="B131" t="s">
        <v>0</v>
      </c>
      <c r="C131" s="57" t="s">
        <v>168</v>
      </c>
      <c r="D131" s="6"/>
      <c r="E131" s="6"/>
      <c r="F131" s="6"/>
      <c r="G131" s="6"/>
      <c r="H131" s="6"/>
      <c r="I131" s="6"/>
      <c r="J131" s="6"/>
      <c r="K131" s="6"/>
    </row>
    <row r="132" spans="2:15" ht="15.75" customHeight="1">
      <c r="C132" s="79" t="str">
        <f t="shared" ref="C132:K132" si="21">C14</f>
        <v xml:space="preserve">Fiscal year  </v>
      </c>
      <c r="D132" s="81">
        <f t="shared" si="21"/>
        <v>2023</v>
      </c>
      <c r="E132" s="81">
        <f t="shared" si="21"/>
        <v>2024</v>
      </c>
      <c r="F132" s="81">
        <f t="shared" si="21"/>
        <v>2025</v>
      </c>
      <c r="G132" s="83">
        <f t="shared" si="21"/>
        <v>2026</v>
      </c>
      <c r="H132" s="83">
        <f t="shared" si="21"/>
        <v>2027</v>
      </c>
      <c r="I132" s="83">
        <f t="shared" si="21"/>
        <v>2028</v>
      </c>
      <c r="J132" s="83">
        <f t="shared" si="21"/>
        <v>2029</v>
      </c>
      <c r="K132" s="83">
        <f t="shared" si="21"/>
        <v>2030</v>
      </c>
    </row>
    <row r="133" spans="2:15" ht="15.75" customHeight="1">
      <c r="C133" s="6" t="str">
        <f t="shared" ref="C133:K133" si="22">C15</f>
        <v>Fiscal year end date</v>
      </c>
      <c r="D133" s="85">
        <f t="shared" si="22"/>
        <v>45291</v>
      </c>
      <c r="E133" s="85">
        <f t="shared" si="22"/>
        <v>45657</v>
      </c>
      <c r="F133" s="85">
        <f t="shared" si="22"/>
        <v>46022</v>
      </c>
      <c r="G133" s="85">
        <f t="shared" si="22"/>
        <v>46387</v>
      </c>
      <c r="H133" s="85">
        <f t="shared" si="22"/>
        <v>46752</v>
      </c>
      <c r="I133" s="85">
        <f t="shared" si="22"/>
        <v>47118</v>
      </c>
      <c r="J133" s="85">
        <f t="shared" si="22"/>
        <v>47483</v>
      </c>
      <c r="K133" s="85">
        <f t="shared" si="22"/>
        <v>47848</v>
      </c>
    </row>
    <row r="134" spans="2:15" ht="15.75" customHeight="1">
      <c r="C134" s="72"/>
      <c r="G134" s="306" t="s">
        <v>169</v>
      </c>
      <c r="H134" s="306"/>
      <c r="I134" s="306"/>
      <c r="J134" s="306"/>
      <c r="K134" s="306"/>
    </row>
    <row r="135" spans="2:15" ht="15.75" customHeight="1">
      <c r="C135" s="95" t="s">
        <v>170</v>
      </c>
      <c r="F135" s="91">
        <f>E69</f>
        <v>568607</v>
      </c>
      <c r="G135" s="91">
        <f>F138</f>
        <v>579971</v>
      </c>
      <c r="H135" s="91">
        <f>G138</f>
        <v>602929.43782247358</v>
      </c>
      <c r="I135" s="91">
        <f>H138</f>
        <v>628853.4015259681</v>
      </c>
      <c r="J135" s="91">
        <f>I138</f>
        <v>657885.51995562238</v>
      </c>
      <c r="K135" s="91">
        <f>J138</f>
        <v>690149.22110763751</v>
      </c>
    </row>
    <row r="136" spans="2:15" ht="15.75" customHeight="1">
      <c r="C136" s="44" t="s">
        <v>171</v>
      </c>
      <c r="D136" s="49"/>
      <c r="E136" s="49"/>
      <c r="F136" s="109">
        <v>82400</v>
      </c>
      <c r="G136" s="54">
        <f>($F$136/$F$19)*G19</f>
        <v>94588.763828591196</v>
      </c>
      <c r="H136" s="54">
        <f>($F$136/$F$19)*H19</f>
        <v>106806.73045839745</v>
      </c>
      <c r="I136" s="54">
        <f>($F$136/$F$19)*I19</f>
        <v>119612.32793017547</v>
      </c>
      <c r="J136" s="54">
        <f>($F$136/$F$19)*J19</f>
        <v>132926.44874630266</v>
      </c>
      <c r="K136" s="54">
        <f>($F$136/$F$19)*K19</f>
        <v>147090.91809382779</v>
      </c>
      <c r="M136" t="s">
        <v>172</v>
      </c>
    </row>
    <row r="137" spans="2:15" ht="15.75" customHeight="1">
      <c r="C137" s="108" t="s">
        <v>173</v>
      </c>
      <c r="D137" s="109"/>
      <c r="E137" s="109"/>
      <c r="F137" s="109">
        <v>-62400</v>
      </c>
      <c r="G137" s="110">
        <f>-G136*G140</f>
        <v>-71630.326006117612</v>
      </c>
      <c r="H137" s="110">
        <f>-H136*H140</f>
        <v>-80882.766754902914</v>
      </c>
      <c r="I137" s="110">
        <f>-I136*I140</f>
        <v>-90580.209500521232</v>
      </c>
      <c r="J137" s="110">
        <f>-J136*J140</f>
        <v>-100662.74759428744</v>
      </c>
      <c r="K137" s="110">
        <f>-K136*K140</f>
        <v>-111389.23894484046</v>
      </c>
      <c r="M137" t="s">
        <v>174</v>
      </c>
    </row>
    <row r="138" spans="2:15" ht="15.75" customHeight="1">
      <c r="C138" s="111" t="s">
        <v>175</v>
      </c>
      <c r="D138" s="102"/>
      <c r="E138" s="102"/>
      <c r="F138" s="102">
        <f>F69</f>
        <v>579971</v>
      </c>
      <c r="G138" s="102">
        <f>SUM(G135:G137)</f>
        <v>602929.43782247358</v>
      </c>
      <c r="H138" s="102">
        <f>SUM(H135:H137)</f>
        <v>628853.4015259681</v>
      </c>
      <c r="I138" s="102">
        <f>SUM(I135:I137)</f>
        <v>657885.51995562238</v>
      </c>
      <c r="J138" s="102">
        <f>SUM(J135:J137)</f>
        <v>690149.22110763751</v>
      </c>
      <c r="K138" s="102">
        <f>SUM(K135:K137)</f>
        <v>725850.90025662479</v>
      </c>
    </row>
    <row r="139" spans="2:15" ht="15.75" customHeight="1">
      <c r="C139" s="95"/>
      <c r="M139" s="26"/>
    </row>
    <row r="140" spans="2:15" ht="16.5" customHeight="1">
      <c r="C140" s="95" t="s">
        <v>176</v>
      </c>
      <c r="D140" s="112"/>
      <c r="E140" s="112"/>
      <c r="F140" s="113">
        <f>-F137/F136</f>
        <v>0.75728155339805825</v>
      </c>
      <c r="G140" s="42">
        <f>F140</f>
        <v>0.75728155339805825</v>
      </c>
      <c r="H140" s="42">
        <f>G140</f>
        <v>0.75728155339805825</v>
      </c>
      <c r="I140" s="42">
        <f>H140</f>
        <v>0.75728155339805825</v>
      </c>
      <c r="J140" s="42">
        <f>I140</f>
        <v>0.75728155339805825</v>
      </c>
      <c r="K140" s="42">
        <f>J140</f>
        <v>0.75728155339805825</v>
      </c>
    </row>
    <row r="141" spans="2:15" ht="15.75" customHeight="1">
      <c r="C141" s="95"/>
      <c r="D141" s="112"/>
      <c r="E141" s="112"/>
      <c r="F141" s="112"/>
      <c r="G141" s="42"/>
      <c r="H141" s="42"/>
      <c r="I141" s="42"/>
      <c r="J141" s="42"/>
      <c r="K141" s="42"/>
      <c r="O141" s="114"/>
    </row>
    <row r="142" spans="2:15" ht="15.75" customHeight="1">
      <c r="B142" t="s">
        <v>0</v>
      </c>
      <c r="C142" s="115" t="s">
        <v>177</v>
      </c>
      <c r="D142" s="116"/>
      <c r="E142" s="116"/>
      <c r="F142" s="116"/>
      <c r="G142" s="117"/>
      <c r="H142" s="117"/>
      <c r="I142" s="117"/>
      <c r="J142" s="117"/>
      <c r="K142" s="117"/>
      <c r="O142" s="114"/>
    </row>
    <row r="143" spans="2:15" ht="15.75" customHeight="1">
      <c r="C143" s="95" t="s">
        <v>178</v>
      </c>
      <c r="D143" s="91"/>
      <c r="E143" s="91"/>
      <c r="F143" s="49">
        <f>F35+F137</f>
        <v>131264</v>
      </c>
      <c r="G143" s="49">
        <v>121423</v>
      </c>
      <c r="H143" s="49">
        <v>111148</v>
      </c>
      <c r="I143" s="49">
        <v>109589</v>
      </c>
      <c r="J143" s="49">
        <v>106412</v>
      </c>
      <c r="K143" s="49">
        <v>105376</v>
      </c>
      <c r="M143" t="s">
        <v>179</v>
      </c>
      <c r="O143" s="114"/>
    </row>
    <row r="144" spans="2:15" ht="15.75" customHeight="1">
      <c r="C144" s="44" t="s">
        <v>180</v>
      </c>
      <c r="D144" s="118"/>
      <c r="E144" s="118"/>
      <c r="F144" s="118"/>
      <c r="G144" s="42">
        <f>G143/G19</f>
        <v>1.7447612588722839E-2</v>
      </c>
      <c r="H144" s="42">
        <f>H143/H19</f>
        <v>1.4144175359945249E-2</v>
      </c>
      <c r="I144" s="42">
        <f>I143/I19</f>
        <v>1.245276010153025E-2</v>
      </c>
      <c r="J144" s="42">
        <f>J143/J19</f>
        <v>1.0880624029863157E-2</v>
      </c>
      <c r="K144" s="42">
        <f>K143/K19</f>
        <v>9.7371183972174528E-3</v>
      </c>
      <c r="O144" s="114"/>
    </row>
    <row r="145" spans="2:15" ht="15.75" customHeight="1">
      <c r="C145" s="97" t="s">
        <v>181</v>
      </c>
      <c r="D145" s="102"/>
      <c r="E145" s="102"/>
      <c r="F145" s="102"/>
      <c r="G145" s="98">
        <f>G143-G137</f>
        <v>193053.32600611763</v>
      </c>
      <c r="H145" s="98">
        <f>H143-H137</f>
        <v>192030.7667549029</v>
      </c>
      <c r="I145" s="98">
        <f>I143-I137</f>
        <v>200169.20950052125</v>
      </c>
      <c r="J145" s="98">
        <f>J143-J137</f>
        <v>207074.74759428744</v>
      </c>
      <c r="K145" s="98">
        <f>K143-K137</f>
        <v>216765.23894484044</v>
      </c>
      <c r="O145" s="114"/>
    </row>
    <row r="146" spans="2:15" ht="15.75" customHeight="1">
      <c r="H146" s="91"/>
      <c r="I146" s="91"/>
      <c r="J146" s="91"/>
      <c r="K146" s="91"/>
    </row>
    <row r="147" spans="2:15" ht="15.75" customHeight="1">
      <c r="B147" t="s">
        <v>0</v>
      </c>
      <c r="C147" s="119" t="s">
        <v>182</v>
      </c>
      <c r="D147" s="120"/>
      <c r="E147" s="120"/>
      <c r="F147" s="120"/>
      <c r="G147" s="121">
        <f>G14</f>
        <v>2026</v>
      </c>
      <c r="H147" s="121">
        <f>H14</f>
        <v>2027</v>
      </c>
      <c r="I147" s="121">
        <f>I14</f>
        <v>2028</v>
      </c>
      <c r="J147" s="121">
        <f>J14</f>
        <v>2029</v>
      </c>
      <c r="K147" s="121">
        <f>K14</f>
        <v>2030</v>
      </c>
    </row>
    <row r="148" spans="2:15" ht="15.75" customHeight="1">
      <c r="C148" s="95" t="s">
        <v>170</v>
      </c>
      <c r="F148" s="91">
        <f>E99</f>
        <v>-1563321</v>
      </c>
      <c r="G148" s="91">
        <f>F152</f>
        <v>-1285905</v>
      </c>
      <c r="H148" s="91">
        <f ca="1">G152</f>
        <v>-878930.74676999997</v>
      </c>
      <c r="I148" s="91">
        <f ca="1">H152</f>
        <v>-364296.26878499996</v>
      </c>
      <c r="J148" s="91">
        <f ca="1">I152</f>
        <v>277910.98734709492</v>
      </c>
      <c r="K148" s="91">
        <f ca="1">J152</f>
        <v>1047155.6185275918</v>
      </c>
    </row>
    <row r="149" spans="2:15" ht="15.75" customHeight="1">
      <c r="C149" s="44" t="s">
        <v>183</v>
      </c>
      <c r="D149" s="101"/>
      <c r="E149" s="101"/>
      <c r="F149" s="91">
        <f t="shared" ref="F149:K149" si="23">F33</f>
        <v>277416</v>
      </c>
      <c r="G149" s="91">
        <f t="shared" ca="1" si="23"/>
        <v>406974.25323000003</v>
      </c>
      <c r="H149" s="91">
        <f t="shared" ca="1" si="23"/>
        <v>514634.477985</v>
      </c>
      <c r="I149" s="91">
        <f t="shared" ca="1" si="23"/>
        <v>642207.25613209489</v>
      </c>
      <c r="J149" s="91">
        <f t="shared" ca="1" si="23"/>
        <v>769244.63118049689</v>
      </c>
      <c r="K149" s="91">
        <f t="shared" ca="1" si="23"/>
        <v>900072.8639022503</v>
      </c>
    </row>
    <row r="150" spans="2:15" ht="15.75" customHeight="1">
      <c r="C150" s="44" t="s">
        <v>184</v>
      </c>
      <c r="D150" s="49"/>
      <c r="E150" s="49"/>
      <c r="F150" s="91">
        <f t="shared" ref="F150:K150" si="24">-F126</f>
        <v>0</v>
      </c>
      <c r="G150" s="91">
        <f t="shared" si="24"/>
        <v>0</v>
      </c>
      <c r="H150" s="91">
        <f t="shared" si="24"/>
        <v>0</v>
      </c>
      <c r="I150" s="91">
        <f t="shared" si="24"/>
        <v>0</v>
      </c>
      <c r="J150" s="91">
        <f t="shared" si="24"/>
        <v>0</v>
      </c>
      <c r="K150" s="91">
        <f t="shared" si="24"/>
        <v>0</v>
      </c>
    </row>
    <row r="151" spans="2:15" ht="15.75" customHeight="1">
      <c r="C151" s="108" t="s">
        <v>185</v>
      </c>
      <c r="D151" s="109"/>
      <c r="E151" s="109"/>
      <c r="F151" s="110">
        <v>0</v>
      </c>
      <c r="G151" s="110">
        <v>0</v>
      </c>
      <c r="H151" s="110">
        <v>0</v>
      </c>
      <c r="I151" s="110">
        <v>0</v>
      </c>
      <c r="J151" s="110">
        <v>0</v>
      </c>
      <c r="K151" s="110">
        <v>0</v>
      </c>
    </row>
    <row r="152" spans="2:15" ht="15.75" customHeight="1">
      <c r="C152" s="111" t="s">
        <v>175</v>
      </c>
      <c r="D152" s="98"/>
      <c r="E152" s="98"/>
      <c r="F152" s="98">
        <f t="shared" ref="F152:K152" si="25">SUM(F148:F151)</f>
        <v>-1285905</v>
      </c>
      <c r="G152" s="98">
        <f t="shared" ca="1" si="25"/>
        <v>-878930.74676999997</v>
      </c>
      <c r="H152" s="98">
        <f t="shared" ca="1" si="25"/>
        <v>-364296.26878499996</v>
      </c>
      <c r="I152" s="98">
        <f t="shared" ca="1" si="25"/>
        <v>277910.98734709492</v>
      </c>
      <c r="J152" s="98">
        <f t="shared" ca="1" si="25"/>
        <v>1047155.6185275918</v>
      </c>
      <c r="K152" s="98">
        <f t="shared" ca="1" si="25"/>
        <v>1947228.482429842</v>
      </c>
    </row>
    <row r="153" spans="2:15" ht="15.75" customHeight="1">
      <c r="E153" s="104"/>
      <c r="F153" s="104"/>
    </row>
    <row r="154" spans="2:15" ht="15.75" customHeight="1">
      <c r="B154" t="s">
        <v>0</v>
      </c>
      <c r="C154" s="57" t="s">
        <v>186</v>
      </c>
      <c r="D154" s="6"/>
      <c r="E154" s="6"/>
      <c r="F154" s="6"/>
      <c r="G154" s="6"/>
      <c r="H154" s="6"/>
      <c r="I154" s="6"/>
      <c r="J154" s="6"/>
      <c r="K154" s="6"/>
    </row>
    <row r="155" spans="2:15" ht="15.75" customHeight="1">
      <c r="C155" s="79" t="str">
        <f t="shared" ref="C155:K155" si="26">C14</f>
        <v xml:space="preserve">Fiscal year  </v>
      </c>
      <c r="D155" s="81">
        <f t="shared" si="26"/>
        <v>2023</v>
      </c>
      <c r="E155" s="81">
        <f t="shared" si="26"/>
        <v>2024</v>
      </c>
      <c r="F155" s="81">
        <f t="shared" si="26"/>
        <v>2025</v>
      </c>
      <c r="G155" s="83">
        <f t="shared" si="26"/>
        <v>2026</v>
      </c>
      <c r="H155" s="83">
        <f t="shared" si="26"/>
        <v>2027</v>
      </c>
      <c r="I155" s="83">
        <f t="shared" si="26"/>
        <v>2028</v>
      </c>
      <c r="J155" s="83">
        <f t="shared" si="26"/>
        <v>2029</v>
      </c>
      <c r="K155" s="83">
        <f t="shared" si="26"/>
        <v>2030</v>
      </c>
    </row>
    <row r="156" spans="2:15" ht="15.75" customHeight="1">
      <c r="C156" s="6" t="str">
        <f t="shared" ref="C156:K156" si="27">C15</f>
        <v>Fiscal year end date</v>
      </c>
      <c r="D156" s="85">
        <f t="shared" si="27"/>
        <v>45291</v>
      </c>
      <c r="E156" s="85">
        <f t="shared" si="27"/>
        <v>45657</v>
      </c>
      <c r="F156" s="85">
        <f t="shared" si="27"/>
        <v>46022</v>
      </c>
      <c r="G156" s="85">
        <f t="shared" si="27"/>
        <v>46387</v>
      </c>
      <c r="H156" s="85">
        <f t="shared" si="27"/>
        <v>46752</v>
      </c>
      <c r="I156" s="85">
        <f t="shared" si="27"/>
        <v>47118</v>
      </c>
      <c r="J156" s="85">
        <f t="shared" si="27"/>
        <v>47483</v>
      </c>
      <c r="K156" s="85">
        <f t="shared" si="27"/>
        <v>47848</v>
      </c>
    </row>
    <row r="157" spans="2:15" ht="15.75" customHeight="1">
      <c r="C157" s="72"/>
    </row>
    <row r="158" spans="2:15" ht="15.75" customHeight="1">
      <c r="C158" s="26" t="s">
        <v>187</v>
      </c>
    </row>
    <row r="159" spans="2:15" ht="15.75" customHeight="1">
      <c r="C159" s="44" t="s">
        <v>188</v>
      </c>
      <c r="G159" s="91">
        <f>F62</f>
        <v>289717</v>
      </c>
      <c r="H159" s="91">
        <f ca="1">G62</f>
        <v>497415.35874840332</v>
      </c>
      <c r="I159" s="91">
        <f ca="1">H62</f>
        <v>574045.4596248595</v>
      </c>
      <c r="J159" s="91">
        <f ca="1">I62</f>
        <v>764702.09523822111</v>
      </c>
      <c r="K159" s="91">
        <f ca="1">J62</f>
        <v>992451.03340521094</v>
      </c>
    </row>
    <row r="160" spans="2:15" ht="15.75" customHeight="1">
      <c r="C160" s="44" t="s">
        <v>189</v>
      </c>
      <c r="G160" s="49">
        <v>-50000</v>
      </c>
      <c r="H160" s="49">
        <v>-50000</v>
      </c>
      <c r="I160" s="49">
        <v>-50000</v>
      </c>
      <c r="J160" s="49">
        <v>-50000</v>
      </c>
      <c r="K160" s="49">
        <v>-50000</v>
      </c>
    </row>
    <row r="161" spans="2:11" ht="15.75" customHeight="1">
      <c r="C161" s="108" t="s">
        <v>190</v>
      </c>
      <c r="D161" s="122"/>
      <c r="E161" s="122"/>
      <c r="F161" s="122"/>
      <c r="G161" s="110">
        <f ca="1">G118+G121+G123+G125+G126+G128</f>
        <v>207698.35874840332</v>
      </c>
      <c r="H161" s="110">
        <f ca="1">H118+H121+H123+H125+H126+H128</f>
        <v>76630.100876456243</v>
      </c>
      <c r="I161" s="110">
        <f ca="1">I118+I121+I123+I125+I126+I128</f>
        <v>190656.63561336161</v>
      </c>
      <c r="J161" s="110">
        <f ca="1">J118+J121+J123+J125+J126+J128</f>
        <v>227748.93816698983</v>
      </c>
      <c r="K161" s="110">
        <f ca="1">K118+K121+K123+K125+K126+K128</f>
        <v>340174.24204203323</v>
      </c>
    </row>
    <row r="162" spans="2:11" ht="15.75" customHeight="1">
      <c r="C162" s="111" t="s">
        <v>191</v>
      </c>
      <c r="G162" s="98">
        <f ca="1">SUM(G159:G161)</f>
        <v>447415.35874840332</v>
      </c>
      <c r="H162" s="98">
        <f ca="1">SUM(H159:H161)</f>
        <v>524045.45962485956</v>
      </c>
      <c r="I162" s="98">
        <f ca="1">SUM(I159:I161)</f>
        <v>714702.09523822111</v>
      </c>
      <c r="J162" s="98">
        <f ca="1">SUM(J159:J161)</f>
        <v>942451.03340521094</v>
      </c>
      <c r="K162" s="98">
        <f ca="1">SUM(K159:K161)</f>
        <v>1282625.2754472443</v>
      </c>
    </row>
    <row r="163" spans="2:11" ht="15.75" customHeight="1">
      <c r="C163" s="44"/>
      <c r="G163" s="123"/>
      <c r="H163" s="123"/>
      <c r="I163" s="123"/>
      <c r="J163" s="123"/>
      <c r="K163" s="123"/>
    </row>
    <row r="164" spans="2:11" ht="15.75" customHeight="1">
      <c r="C164" s="72" t="s">
        <v>192</v>
      </c>
    </row>
    <row r="165" spans="2:11" ht="15.75" customHeight="1">
      <c r="C165" s="44" t="s">
        <v>170</v>
      </c>
      <c r="G165" s="54">
        <f>F94</f>
        <v>0</v>
      </c>
      <c r="H165" s="91">
        <f ca="1">G168</f>
        <v>0</v>
      </c>
      <c r="I165" s="91">
        <f ca="1">H168</f>
        <v>0</v>
      </c>
      <c r="J165" s="91">
        <f ca="1">I168</f>
        <v>0</v>
      </c>
      <c r="K165" s="91">
        <f ca="1">J168</f>
        <v>0</v>
      </c>
    </row>
    <row r="166" spans="2:11" ht="15.75" customHeight="1">
      <c r="C166" s="44" t="s">
        <v>193</v>
      </c>
      <c r="G166" s="91">
        <f ca="1">IF(G162&lt;0,-G162,IF(G165&gt;0,-MIN(G165,G162),0))</f>
        <v>0</v>
      </c>
      <c r="H166" s="91">
        <f ca="1">IF(H162&lt;0,-H162,IF(H165&gt;0,-MIN(H165,H162),0))</f>
        <v>0</v>
      </c>
      <c r="I166" s="91">
        <f ca="1">IF(I162&lt;0,-I162,IF(I165&gt;0,-MIN(I165,I162),0))</f>
        <v>0</v>
      </c>
      <c r="J166" s="91">
        <f ca="1">IF(J162&lt;0,-J162,IF(J165&gt;0,-MIN(J165,J162),0))</f>
        <v>0</v>
      </c>
      <c r="K166" s="91">
        <f ca="1">IF(K162&lt;0,-K162,IF(K165&gt;0,-MIN(K165,K162),0))</f>
        <v>0</v>
      </c>
    </row>
    <row r="167" spans="2:11" ht="15.75" customHeight="1">
      <c r="C167" s="108" t="s">
        <v>194</v>
      </c>
      <c r="D167" s="122"/>
      <c r="E167" s="122"/>
      <c r="F167" s="122"/>
      <c r="G167" s="109">
        <v>0</v>
      </c>
      <c r="H167" s="109">
        <v>0</v>
      </c>
      <c r="I167" s="109">
        <v>0</v>
      </c>
      <c r="J167" s="109">
        <v>0</v>
      </c>
      <c r="K167" s="109">
        <v>0</v>
      </c>
    </row>
    <row r="168" spans="2:11" ht="15.75" customHeight="1">
      <c r="C168" s="124" t="s">
        <v>175</v>
      </c>
      <c r="D168" s="125"/>
      <c r="E168" s="125"/>
      <c r="F168" s="125"/>
      <c r="G168" s="126">
        <f ca="1">G165+G166+G167</f>
        <v>0</v>
      </c>
      <c r="H168" s="126">
        <f ca="1">H165+H166+H167</f>
        <v>0</v>
      </c>
      <c r="I168" s="126">
        <f ca="1">I165+I166+I167</f>
        <v>0</v>
      </c>
      <c r="J168" s="126">
        <f ca="1">J165+J166+J167</f>
        <v>0</v>
      </c>
      <c r="K168" s="126">
        <f ca="1">K165+K166+K167</f>
        <v>0</v>
      </c>
    </row>
    <row r="169" spans="2:11" ht="15.75" customHeight="1">
      <c r="C169" s="127" t="s">
        <v>195</v>
      </c>
      <c r="D169" s="129"/>
      <c r="E169" s="129"/>
      <c r="F169" s="130">
        <f t="shared" ref="F169:K169" si="28">F88+F86</f>
        <v>2214605</v>
      </c>
      <c r="G169" s="131">
        <f t="shared" ca="1" si="28"/>
        <v>2191161</v>
      </c>
      <c r="H169" s="131">
        <f t="shared" ca="1" si="28"/>
        <v>2067717</v>
      </c>
      <c r="I169" s="131">
        <f t="shared" ca="1" si="28"/>
        <v>1944273</v>
      </c>
      <c r="J169" s="131">
        <f t="shared" ca="1" si="28"/>
        <v>1770829</v>
      </c>
      <c r="K169" s="132">
        <f t="shared" ca="1" si="28"/>
        <v>1597385</v>
      </c>
    </row>
    <row r="170" spans="2:11" ht="15.75" customHeight="1">
      <c r="D170" s="91"/>
      <c r="E170" s="91"/>
      <c r="F170" s="133"/>
      <c r="G170" s="134"/>
      <c r="H170" s="134"/>
      <c r="I170" s="134"/>
      <c r="J170" s="134"/>
      <c r="K170" s="134"/>
    </row>
    <row r="171" spans="2:11" ht="15.75" customHeight="1">
      <c r="B171" t="s">
        <v>0</v>
      </c>
      <c r="C171" s="57" t="s">
        <v>196</v>
      </c>
      <c r="D171" s="116"/>
      <c r="E171" s="116"/>
      <c r="F171" s="116"/>
      <c r="G171" s="135"/>
      <c r="H171" s="135"/>
      <c r="I171" s="135"/>
      <c r="J171" s="135"/>
      <c r="K171" s="135"/>
    </row>
    <row r="172" spans="2:11" ht="15.75" customHeight="1">
      <c r="C172" s="79" t="str">
        <f t="shared" ref="C172:K172" si="29">C14</f>
        <v xml:space="preserve">Fiscal year  </v>
      </c>
      <c r="D172" s="81">
        <f t="shared" si="29"/>
        <v>2023</v>
      </c>
      <c r="E172" s="81">
        <f t="shared" si="29"/>
        <v>2024</v>
      </c>
      <c r="F172" s="81">
        <f t="shared" si="29"/>
        <v>2025</v>
      </c>
      <c r="G172" s="83">
        <f t="shared" si="29"/>
        <v>2026</v>
      </c>
      <c r="H172" s="83">
        <f t="shared" si="29"/>
        <v>2027</v>
      </c>
      <c r="I172" s="83">
        <f t="shared" si="29"/>
        <v>2028</v>
      </c>
      <c r="J172" s="83">
        <f t="shared" si="29"/>
        <v>2029</v>
      </c>
      <c r="K172" s="83">
        <f t="shared" si="29"/>
        <v>2030</v>
      </c>
    </row>
    <row r="173" spans="2:11" ht="15.75" customHeight="1">
      <c r="C173" s="6" t="str">
        <f t="shared" ref="C173:K173" si="30">C15</f>
        <v>Fiscal year end date</v>
      </c>
      <c r="D173" s="85">
        <f t="shared" si="30"/>
        <v>45291</v>
      </c>
      <c r="E173" s="85">
        <f t="shared" si="30"/>
        <v>45657</v>
      </c>
      <c r="F173" s="85">
        <f t="shared" si="30"/>
        <v>46022</v>
      </c>
      <c r="G173" s="85">
        <f t="shared" si="30"/>
        <v>46387</v>
      </c>
      <c r="H173" s="85">
        <f t="shared" si="30"/>
        <v>46752</v>
      </c>
      <c r="I173" s="85">
        <f t="shared" si="30"/>
        <v>47118</v>
      </c>
      <c r="J173" s="85">
        <f t="shared" si="30"/>
        <v>47483</v>
      </c>
      <c r="K173" s="85">
        <f t="shared" si="30"/>
        <v>47848</v>
      </c>
    </row>
    <row r="174" spans="2:11" ht="15.75" customHeight="1">
      <c r="C174" s="44"/>
      <c r="D174" s="91"/>
      <c r="E174" s="91"/>
      <c r="F174" s="91"/>
      <c r="G174" s="136"/>
      <c r="H174" s="136"/>
      <c r="I174" s="136"/>
      <c r="J174" s="136"/>
      <c r="K174" s="136"/>
    </row>
    <row r="175" spans="2:11" ht="15.75" customHeight="1">
      <c r="C175" s="95" t="s">
        <v>197</v>
      </c>
      <c r="D175" s="91"/>
      <c r="E175" s="91"/>
      <c r="F175" s="98">
        <f>F27</f>
        <v>-174217</v>
      </c>
      <c r="G175" s="98">
        <f ca="1">G180+G185</f>
        <v>-138781.62900000002</v>
      </c>
      <c r="H175" s="98">
        <f ca="1">H180+H185</f>
        <v>-134154.65700000001</v>
      </c>
      <c r="I175" s="98">
        <f ca="1">I180+I185</f>
        <v>-126377.685</v>
      </c>
      <c r="J175" s="98">
        <f ca="1">J180+J185</f>
        <v>-117025.713</v>
      </c>
      <c r="K175" s="98">
        <f ca="1">K180+K185</f>
        <v>-106098.74099999999</v>
      </c>
    </row>
    <row r="176" spans="2:11" ht="15.75" customHeight="1">
      <c r="C176" s="137"/>
    </row>
    <row r="177" spans="2:14" ht="15.75" customHeight="1">
      <c r="C177" s="138" t="s">
        <v>198</v>
      </c>
    </row>
    <row r="178" spans="2:14" ht="15.75" customHeight="1">
      <c r="C178" s="44" t="s">
        <v>199</v>
      </c>
      <c r="G178" s="43">
        <v>6.0499999999999998E-2</v>
      </c>
      <c r="H178" s="43">
        <v>6.0499999999999998E-2</v>
      </c>
      <c r="I178" s="43">
        <v>6.0499999999999998E-2</v>
      </c>
      <c r="J178" s="43">
        <v>6.0499999999999998E-2</v>
      </c>
      <c r="K178" s="43">
        <v>6.0499999999999998E-2</v>
      </c>
    </row>
    <row r="179" spans="2:14" ht="15.75" customHeight="1">
      <c r="C179" s="44" t="s">
        <v>200</v>
      </c>
      <c r="D179" s="91"/>
      <c r="E179" s="91"/>
      <c r="F179" s="91">
        <v>0</v>
      </c>
      <c r="G179" s="91">
        <f ca="1">G168</f>
        <v>0</v>
      </c>
      <c r="H179" s="91">
        <f ca="1">H168</f>
        <v>0</v>
      </c>
      <c r="I179" s="91">
        <f ca="1">I168</f>
        <v>0</v>
      </c>
      <c r="J179" s="91">
        <f ca="1">J168</f>
        <v>0</v>
      </c>
      <c r="K179" s="91">
        <f ca="1">K168</f>
        <v>0</v>
      </c>
    </row>
    <row r="180" spans="2:14" ht="15.75" customHeight="1">
      <c r="C180" s="139" t="s">
        <v>201</v>
      </c>
      <c r="D180" s="140"/>
      <c r="E180" s="140"/>
      <c r="F180" s="141">
        <v>0</v>
      </c>
      <c r="G180" s="141">
        <f ca="1">-G178*(F179+G179)/2</f>
        <v>0</v>
      </c>
      <c r="H180" s="141">
        <f ca="1">-H178*(G179+H179)/2</f>
        <v>0</v>
      </c>
      <c r="I180" s="141">
        <f ca="1">-I178*(H179+I179)/2</f>
        <v>0</v>
      </c>
      <c r="J180" s="141">
        <f ca="1">-J178*(I179+J179)/2</f>
        <v>0</v>
      </c>
      <c r="K180" s="141">
        <f ca="1">-K178*(J179+K179)/2</f>
        <v>0</v>
      </c>
    </row>
    <row r="181" spans="2:14" ht="15.75" customHeight="1">
      <c r="C181" s="89"/>
      <c r="D181" s="91"/>
      <c r="E181" s="91"/>
      <c r="F181" s="91"/>
    </row>
    <row r="182" spans="2:14" ht="15.75" customHeight="1">
      <c r="C182" s="138" t="s">
        <v>131</v>
      </c>
      <c r="D182" s="91"/>
      <c r="E182" s="91"/>
      <c r="F182" s="91"/>
    </row>
    <row r="183" spans="2:14" ht="15.75" customHeight="1">
      <c r="C183" s="44" t="s">
        <v>200</v>
      </c>
      <c r="D183" s="91"/>
      <c r="E183" s="91">
        <f t="shared" ref="E183:K183" si="31">E88+E86</f>
        <v>2231426</v>
      </c>
      <c r="F183" s="91">
        <f t="shared" si="31"/>
        <v>2214605</v>
      </c>
      <c r="G183" s="91">
        <f t="shared" ca="1" si="31"/>
        <v>2191161</v>
      </c>
      <c r="H183" s="91">
        <f t="shared" ca="1" si="31"/>
        <v>2067717</v>
      </c>
      <c r="I183" s="91">
        <f t="shared" ca="1" si="31"/>
        <v>1944273</v>
      </c>
      <c r="J183" s="91">
        <f t="shared" ca="1" si="31"/>
        <v>1770829</v>
      </c>
      <c r="K183" s="91">
        <f t="shared" ca="1" si="31"/>
        <v>1597385</v>
      </c>
    </row>
    <row r="184" spans="2:14" ht="15.75" customHeight="1">
      <c r="C184" s="44" t="s">
        <v>199</v>
      </c>
      <c r="E184" s="118"/>
      <c r="F184" s="112">
        <f>-F27/((E183+F183)/2)</f>
        <v>7.8369673985628982E-2</v>
      </c>
      <c r="G184" s="43">
        <v>6.3E-2</v>
      </c>
      <c r="H184" s="43">
        <v>6.3E-2</v>
      </c>
      <c r="I184" s="43">
        <v>6.3E-2</v>
      </c>
      <c r="J184" s="43">
        <v>6.3E-2</v>
      </c>
      <c r="K184" s="43">
        <v>6.3E-2</v>
      </c>
    </row>
    <row r="185" spans="2:14" ht="15.75" customHeight="1">
      <c r="C185" s="111" t="s">
        <v>74</v>
      </c>
      <c r="D185" s="102"/>
      <c r="E185" s="102"/>
      <c r="F185" s="91">
        <f>F27</f>
        <v>-174217</v>
      </c>
      <c r="G185" s="91">
        <f ca="1">-G184*(F183+G183)/2</f>
        <v>-138781.62900000002</v>
      </c>
      <c r="H185" s="91">
        <f ca="1">-H184*(G183+H183)/2</f>
        <v>-134154.65700000001</v>
      </c>
      <c r="I185" s="91">
        <f ca="1">-I184*(H183+I183)/2</f>
        <v>-126377.685</v>
      </c>
      <c r="J185" s="91">
        <f ca="1">-J184*(I183+J183)/2</f>
        <v>-117025.713</v>
      </c>
      <c r="K185" s="91">
        <f ca="1">-K184*(J183+K183)/2</f>
        <v>-106098.74099999999</v>
      </c>
    </row>
    <row r="186" spans="2:14" ht="15.75" customHeight="1">
      <c r="C186" s="111"/>
      <c r="D186" s="102"/>
      <c r="E186" s="102"/>
      <c r="F186" s="102"/>
      <c r="G186" s="102"/>
      <c r="H186" s="102"/>
      <c r="I186" s="102"/>
      <c r="J186" s="102"/>
      <c r="K186" s="102"/>
    </row>
    <row r="187" spans="2:14" ht="15.75" customHeight="1">
      <c r="C187" s="137" t="s">
        <v>202</v>
      </c>
      <c r="E187" s="91"/>
      <c r="F187" s="91"/>
    </row>
    <row r="188" spans="2:14" ht="15.75" customHeight="1">
      <c r="C188" s="44" t="s">
        <v>203</v>
      </c>
      <c r="F188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</row>
    <row r="189" spans="2:14" ht="15.75" customHeight="1">
      <c r="C189" s="44" t="s">
        <v>73</v>
      </c>
      <c r="D189" s="91"/>
      <c r="E189" s="91"/>
      <c r="F189" s="91">
        <f>F26</f>
        <v>0</v>
      </c>
      <c r="G189" s="91">
        <f ca="1">G188*(F62+G62)/2</f>
        <v>0</v>
      </c>
      <c r="H189" s="91">
        <f ca="1">H188*(G62+H62)/2</f>
        <v>0</v>
      </c>
      <c r="I189" s="91">
        <f ca="1">I188*(H62+I62)/2</f>
        <v>0</v>
      </c>
      <c r="J189" s="91">
        <f ca="1">J188*(I62+J62)/2</f>
        <v>0</v>
      </c>
      <c r="K189" s="91">
        <f ca="1">K188*(J62+K62)/2</f>
        <v>0</v>
      </c>
    </row>
    <row r="191" spans="2:14" ht="15.75" customHeight="1">
      <c r="B191" t="s">
        <v>0</v>
      </c>
      <c r="C191" s="145" t="s">
        <v>207</v>
      </c>
      <c r="D191" s="146"/>
      <c r="E191" s="146"/>
      <c r="F191" s="146"/>
      <c r="G191" s="146"/>
      <c r="H191" s="146"/>
      <c r="I191" s="146"/>
      <c r="J191" s="146"/>
      <c r="K191" s="146"/>
      <c r="L191" s="147"/>
      <c r="M191" s="147"/>
      <c r="N191" s="147"/>
    </row>
    <row r="192" spans="2:14" ht="15.75" customHeight="1">
      <c r="C192" s="79" t="s">
        <v>22</v>
      </c>
      <c r="D192" s="81"/>
      <c r="E192" s="81"/>
      <c r="F192" s="81"/>
      <c r="G192" s="83">
        <f t="shared" ref="G192:K193" si="32">G14</f>
        <v>2026</v>
      </c>
      <c r="H192" s="83">
        <f t="shared" si="32"/>
        <v>2027</v>
      </c>
      <c r="I192" s="83">
        <f t="shared" si="32"/>
        <v>2028</v>
      </c>
      <c r="J192" s="83">
        <f t="shared" si="32"/>
        <v>2029</v>
      </c>
      <c r="K192" s="83">
        <f t="shared" si="32"/>
        <v>2030</v>
      </c>
      <c r="L192" s="148"/>
    </row>
    <row r="193" spans="3:12" ht="15.75" customHeight="1">
      <c r="C193" s="6" t="s">
        <v>23</v>
      </c>
      <c r="D193" s="85"/>
      <c r="E193" s="85"/>
      <c r="F193" s="85"/>
      <c r="G193" s="85">
        <f t="shared" si="32"/>
        <v>46387</v>
      </c>
      <c r="H193" s="85">
        <f t="shared" si="32"/>
        <v>46752</v>
      </c>
      <c r="I193" s="85">
        <f t="shared" si="32"/>
        <v>47118</v>
      </c>
      <c r="J193" s="85">
        <f t="shared" si="32"/>
        <v>47483</v>
      </c>
      <c r="K193" s="85">
        <f t="shared" si="32"/>
        <v>47848</v>
      </c>
    </row>
    <row r="194" spans="3:12" ht="15.75" customHeight="1">
      <c r="C194" s="10"/>
      <c r="D194" s="10"/>
      <c r="E194" s="10"/>
      <c r="F194" s="10"/>
      <c r="G194" s="149"/>
      <c r="H194" s="149"/>
      <c r="I194" s="149"/>
      <c r="J194" s="149"/>
      <c r="K194" s="149"/>
    </row>
    <row r="195" spans="3:12" ht="15.75" customHeight="1">
      <c r="C195" s="150" t="s">
        <v>83</v>
      </c>
      <c r="D195" s="19"/>
      <c r="E195" s="19"/>
      <c r="F195" s="19"/>
      <c r="G195" s="69">
        <f>G36</f>
        <v>874467.29264611762</v>
      </c>
      <c r="H195" s="69">
        <f>H36</f>
        <v>1012364.7277349029</v>
      </c>
      <c r="I195" s="69">
        <f>I36</f>
        <v>1182823.236009981</v>
      </c>
      <c r="J195" s="69">
        <f>J36</f>
        <v>1349759.9688349499</v>
      </c>
      <c r="K195" s="69">
        <f>K36</f>
        <v>1522961.1318145073</v>
      </c>
    </row>
    <row r="196" spans="3:12" ht="15.75" customHeight="1">
      <c r="C196" s="19" t="s">
        <v>208</v>
      </c>
      <c r="D196" s="68"/>
      <c r="E196" s="19"/>
      <c r="F196" s="19"/>
      <c r="G196" s="69">
        <f>G120</f>
        <v>-94588.763828591196</v>
      </c>
      <c r="H196" s="69">
        <f>H120</f>
        <v>-106806.73045839745</v>
      </c>
      <c r="I196" s="69">
        <f>I120</f>
        <v>-119612.32793017547</v>
      </c>
      <c r="J196" s="69">
        <f>J120</f>
        <v>-132926.44874630266</v>
      </c>
      <c r="K196" s="69">
        <f>K120</f>
        <v>-147090.91809382779</v>
      </c>
    </row>
    <row r="197" spans="3:12" ht="15.75" customHeight="1">
      <c r="C197" s="19" t="s">
        <v>209</v>
      </c>
      <c r="D197" s="68"/>
      <c r="E197" s="19"/>
      <c r="F197" s="19"/>
      <c r="G197" s="69">
        <f>G114+G115</f>
        <v>-197418.78806308238</v>
      </c>
      <c r="H197" s="69">
        <f>H114+H115</f>
        <v>-197907.03790022945</v>
      </c>
      <c r="I197" s="69">
        <f>I114+I115</f>
        <v>-206792.02428700571</v>
      </c>
      <c r="J197" s="69">
        <f>J114+J115</f>
        <v>-215333.61780706141</v>
      </c>
      <c r="K197" s="69">
        <f>K114+K115</f>
        <v>-229271.10310140444</v>
      </c>
    </row>
    <row r="198" spans="3:12" ht="15.75" customHeight="1">
      <c r="C198" s="150" t="s">
        <v>210</v>
      </c>
      <c r="D198" s="150"/>
      <c r="E198" s="150"/>
      <c r="F198" s="150"/>
      <c r="G198" s="71">
        <f>SUM(G195:G197)</f>
        <v>582459.74075444404</v>
      </c>
      <c r="H198" s="71">
        <f>SUM(H195:H197)</f>
        <v>707650.95937627601</v>
      </c>
      <c r="I198" s="71">
        <f>SUM(I195:I197)</f>
        <v>856418.8837927999</v>
      </c>
      <c r="J198" s="71">
        <f>SUM(J195:J197)</f>
        <v>1001499.9022815858</v>
      </c>
      <c r="K198" s="71">
        <f>SUM(K195:K197)</f>
        <v>1146599.1106192751</v>
      </c>
    </row>
    <row r="199" spans="3:12" ht="15.75" customHeight="1">
      <c r="C199" s="19" t="s">
        <v>80</v>
      </c>
      <c r="D199" s="19"/>
      <c r="E199" s="151"/>
      <c r="F199" s="68"/>
      <c r="G199" s="69">
        <f ca="1">G32</f>
        <v>-135658.08441000001</v>
      </c>
      <c r="H199" s="69">
        <f ca="1">H32</f>
        <v>-171544.82599499999</v>
      </c>
      <c r="I199" s="69">
        <f ca="1">I32</f>
        <v>-214069.08537736494</v>
      </c>
      <c r="J199" s="69">
        <f ca="1">J32</f>
        <v>-256414.87706016563</v>
      </c>
      <c r="K199" s="69">
        <f ca="1">K32</f>
        <v>-300024.28796741675</v>
      </c>
    </row>
    <row r="200" spans="3:12" ht="15.75" customHeight="1">
      <c r="C200" s="150" t="s">
        <v>211</v>
      </c>
      <c r="D200" s="150"/>
      <c r="E200" s="150"/>
      <c r="F200" s="25"/>
      <c r="G200" s="71">
        <f ca="1">SUM(G198:G199)</f>
        <v>446801.65634444403</v>
      </c>
      <c r="H200" s="71">
        <f ca="1">SUM(H198:H199)</f>
        <v>536106.13338127604</v>
      </c>
      <c r="I200" s="71">
        <f ca="1">SUM(I198:I199)</f>
        <v>642349.79841543501</v>
      </c>
      <c r="J200" s="71">
        <f ca="1">SUM(J198:J199)</f>
        <v>745085.02522142022</v>
      </c>
      <c r="K200" s="71">
        <f ca="1">SUM(K198:K199)</f>
        <v>846574.82265185844</v>
      </c>
      <c r="L200" s="91"/>
    </row>
    <row r="201" spans="3:12" ht="15.75" customHeight="1">
      <c r="C201" s="19" t="s">
        <v>212</v>
      </c>
      <c r="D201" s="19"/>
      <c r="E201" s="209">
        <v>13</v>
      </c>
      <c r="F201" s="68"/>
      <c r="G201" s="69">
        <v>0</v>
      </c>
      <c r="H201" s="69">
        <v>0</v>
      </c>
      <c r="I201" s="69">
        <v>0</v>
      </c>
      <c r="J201" s="69">
        <v>0</v>
      </c>
      <c r="K201" s="69">
        <f>E201*K195</f>
        <v>19798494.713588595</v>
      </c>
      <c r="L201" s="91"/>
    </row>
    <row r="202" spans="3:12" ht="15.75" customHeight="1">
      <c r="C202" s="150" t="s">
        <v>207</v>
      </c>
      <c r="D202" s="150"/>
      <c r="E202" s="150"/>
      <c r="F202" s="150"/>
      <c r="G202" s="71">
        <f ca="1">SUM(G200:G201)</f>
        <v>446801.65634444403</v>
      </c>
      <c r="H202" s="71">
        <f ca="1">SUM(H200:H201)</f>
        <v>536106.13338127604</v>
      </c>
      <c r="I202" s="71">
        <f ca="1">SUM(I200:I201)</f>
        <v>642349.79841543501</v>
      </c>
      <c r="J202" s="71">
        <f ca="1">SUM(J200:J201)</f>
        <v>745085.02522142022</v>
      </c>
      <c r="K202" s="71">
        <f ca="1">SUM(K200:K201)</f>
        <v>20645069.536240455</v>
      </c>
      <c r="L202" s="91"/>
    </row>
    <row r="203" spans="3:12" ht="15.75" customHeight="1">
      <c r="L203" s="91"/>
    </row>
    <row r="204" spans="3:12" ht="15.75" customHeight="1">
      <c r="C204" s="150" t="s">
        <v>213</v>
      </c>
      <c r="D204" s="153"/>
      <c r="E204" s="154" t="s">
        <v>214</v>
      </c>
      <c r="F204" s="154" t="s">
        <v>215</v>
      </c>
      <c r="G204" s="154"/>
      <c r="H204" s="154" t="s">
        <v>216</v>
      </c>
      <c r="I204" s="154" t="s">
        <v>217</v>
      </c>
      <c r="J204" s="25"/>
    </row>
    <row r="205" spans="3:12" ht="15.75" customHeight="1">
      <c r="C205" s="156">
        <v>0.14000000000000001</v>
      </c>
      <c r="D205" s="19"/>
      <c r="E205" s="69">
        <f ca="1">NPV(C205,G$200:K$200)</f>
        <v>2118849.9396331268</v>
      </c>
      <c r="F205" s="69">
        <f>NPV(C205,G$201:K$201)</f>
        <v>10282717.755731372</v>
      </c>
      <c r="G205" s="157"/>
      <c r="H205" s="69">
        <f ca="1">SUM(E205:F205)</f>
        <v>12401567.695364499</v>
      </c>
      <c r="I205" s="158">
        <f ca="1">H205/F$36</f>
        <v>16.652389981046202</v>
      </c>
      <c r="J205" s="68"/>
      <c r="K205" s="91"/>
    </row>
    <row r="206" spans="3:12" ht="15.75" customHeight="1">
      <c r="C206" s="156">
        <v>0.15</v>
      </c>
      <c r="D206" s="19"/>
      <c r="E206" s="69">
        <f ca="1">NPV(C206,G$200:K$200)</f>
        <v>2063153.9444676279</v>
      </c>
      <c r="F206" s="69">
        <f>NPV(C206,G$201:K$201)</f>
        <v>9843350.965522429</v>
      </c>
      <c r="G206" s="157"/>
      <c r="H206" s="69">
        <f ca="1">SUM(E206:F206)</f>
        <v>11906504.909990057</v>
      </c>
      <c r="I206" s="158">
        <f ca="1">H206/F$36</f>
        <v>15.987637042573782</v>
      </c>
      <c r="J206" s="68"/>
    </row>
    <row r="207" spans="3:12" ht="15.75" customHeight="1">
      <c r="C207" s="156">
        <v>0.16</v>
      </c>
      <c r="D207" s="19"/>
      <c r="E207" s="69">
        <f ca="1">NPV(C207,G$200:K$200)</f>
        <v>2009683.4768018173</v>
      </c>
      <c r="F207" s="69">
        <f>NPV(C207,G$201:K$201)</f>
        <v>9426321.0187488105</v>
      </c>
      <c r="G207" s="157"/>
      <c r="H207" s="69">
        <f ca="1">SUM(E207:F207)</f>
        <v>11436004.495550629</v>
      </c>
      <c r="I207" s="158">
        <f ca="1">H207/F$36</f>
        <v>15.355865593999759</v>
      </c>
      <c r="J207" s="68"/>
    </row>
    <row r="208" spans="3:12" ht="15.75" customHeight="1">
      <c r="C208" s="156">
        <v>0.17</v>
      </c>
      <c r="D208" s="19"/>
      <c r="E208" s="69">
        <f ca="1">NPV(C208,G$200:K$200)</f>
        <v>1958325.7313894953</v>
      </c>
      <c r="F208" s="69">
        <f>NPV(C208,G$201:K$201)</f>
        <v>9030314.2383337636</v>
      </c>
      <c r="G208" s="157"/>
      <c r="H208" s="69">
        <f ca="1">SUM(E208:F208)</f>
        <v>10988639.969723258</v>
      </c>
      <c r="I208" s="158">
        <f ca="1">H208/F$36</f>
        <v>14.7551602049103</v>
      </c>
      <c r="J208" s="68"/>
    </row>
    <row r="209" spans="2:14" ht="15.75" customHeight="1">
      <c r="C209" s="10"/>
      <c r="D209" s="10"/>
      <c r="E209" s="10"/>
      <c r="F209" s="10"/>
      <c r="G209" s="10"/>
      <c r="H209" s="10"/>
      <c r="I209" s="184"/>
      <c r="J209" s="184"/>
      <c r="K209" s="184"/>
      <c r="L209" s="184"/>
      <c r="M209" s="184"/>
      <c r="N209" s="184"/>
    </row>
    <row r="210" spans="2:14" ht="15.75" customHeight="1">
      <c r="B210" t="s">
        <v>0</v>
      </c>
      <c r="C210" s="201" t="s">
        <v>271</v>
      </c>
      <c r="D210" s="201"/>
      <c r="E210" s="201"/>
      <c r="H210" s="1" t="s">
        <v>272</v>
      </c>
      <c r="I210" s="1"/>
      <c r="J210" s="1"/>
    </row>
    <row r="211" spans="2:14" ht="15.75" customHeight="1">
      <c r="C211" s="174" t="s">
        <v>273</v>
      </c>
      <c r="D211" s="204">
        <v>0.4</v>
      </c>
      <c r="E211" s="68"/>
      <c r="H211" s="206" t="s">
        <v>338</v>
      </c>
      <c r="I211" s="207"/>
      <c r="J211" s="69">
        <f>G46</f>
        <v>904707.73120000004</v>
      </c>
    </row>
    <row r="212" spans="2:14" ht="15.75" customHeight="1">
      <c r="C212" s="174" t="s">
        <v>275</v>
      </c>
      <c r="D212" s="290">
        <f>SUM(E215:E217)</f>
        <v>5880600.2528000008</v>
      </c>
      <c r="E212" s="68"/>
      <c r="H212" s="206" t="s">
        <v>276</v>
      </c>
      <c r="I212" s="207"/>
      <c r="J212" s="209">
        <v>13.85</v>
      </c>
    </row>
    <row r="213" spans="2:14" ht="15.75" customHeight="1">
      <c r="C213" s="68"/>
      <c r="D213" s="68"/>
      <c r="E213" s="68"/>
      <c r="H213" s="206"/>
      <c r="I213" s="207"/>
      <c r="J213" s="210"/>
    </row>
    <row r="214" spans="2:14" ht="15.75" customHeight="1">
      <c r="C214" s="160" t="s">
        <v>277</v>
      </c>
      <c r="D214" s="211" t="s">
        <v>278</v>
      </c>
      <c r="E214" s="211" t="s">
        <v>279</v>
      </c>
      <c r="H214" s="206" t="s">
        <v>280</v>
      </c>
      <c r="I214" s="207"/>
      <c r="J214" s="69">
        <f>J211*J212</f>
        <v>12530202.07712</v>
      </c>
    </row>
    <row r="215" spans="2:14" ht="15.75" customHeight="1">
      <c r="C215" s="44" t="s">
        <v>138</v>
      </c>
      <c r="D215" s="213"/>
      <c r="E215" s="69">
        <v>0</v>
      </c>
      <c r="H215" s="206"/>
      <c r="I215" s="207"/>
      <c r="J215" s="210"/>
    </row>
    <row r="216" spans="2:14" ht="15.75" customHeight="1">
      <c r="C216" s="44" t="s">
        <v>281</v>
      </c>
      <c r="D216" s="152">
        <v>4.5</v>
      </c>
      <c r="E216" s="69">
        <f>D216*J211</f>
        <v>4071184.7904000003</v>
      </c>
      <c r="H216" s="214" t="s">
        <v>380</v>
      </c>
      <c r="I216" s="207"/>
      <c r="J216" s="69">
        <f ca="1">SUM(J217:J218)</f>
        <v>2167717</v>
      </c>
    </row>
    <row r="217" spans="2:14" ht="15.75" customHeight="1">
      <c r="C217" s="44" t="s">
        <v>227</v>
      </c>
      <c r="D217" s="152">
        <v>2</v>
      </c>
      <c r="E217" s="69">
        <f>D217*J211</f>
        <v>1809415.4624000001</v>
      </c>
      <c r="H217" s="215" t="s">
        <v>381</v>
      </c>
      <c r="I217" s="207"/>
      <c r="J217" s="69">
        <f ca="1">G88</f>
        <v>2167717</v>
      </c>
    </row>
    <row r="218" spans="2:14" ht="15.75" customHeight="1">
      <c r="C218" s="216" t="s">
        <v>283</v>
      </c>
      <c r="D218" s="217">
        <f>E218/J211</f>
        <v>6.5000000000000009</v>
      </c>
      <c r="E218" s="71">
        <f>SUM(E215:E217)</f>
        <v>5880600.2528000008</v>
      </c>
      <c r="H218" s="215"/>
      <c r="I218" s="207"/>
      <c r="J218" s="69"/>
    </row>
    <row r="219" spans="2:14" ht="15.75" customHeight="1">
      <c r="C219" s="218" t="s">
        <v>285</v>
      </c>
      <c r="D219" s="219"/>
      <c r="E219" s="220">
        <f ca="1">E218/E226</f>
        <v>0.44966908396257937</v>
      </c>
      <c r="H219" s="215" t="s">
        <v>284</v>
      </c>
      <c r="I219" s="207"/>
      <c r="J219" s="69">
        <f ca="1">SUM(J220:J221)</f>
        <v>497415.35874840332</v>
      </c>
      <c r="K219" s="60"/>
    </row>
    <row r="220" spans="2:14" ht="15.75" customHeight="1">
      <c r="H220" s="221" t="s">
        <v>286</v>
      </c>
      <c r="I220" s="222"/>
      <c r="J220" s="69">
        <f ca="1">G62</f>
        <v>497415.35874840332</v>
      </c>
      <c r="K220" s="60"/>
    </row>
    <row r="221" spans="2:14" ht="15.75" customHeight="1">
      <c r="C221" s="44" t="s">
        <v>287</v>
      </c>
      <c r="D221" s="213"/>
      <c r="E221" s="69">
        <f ca="1">G62</f>
        <v>497415.35874840332</v>
      </c>
      <c r="H221" s="221"/>
      <c r="I221" s="291"/>
      <c r="J221" s="207"/>
      <c r="K221" s="60"/>
    </row>
    <row r="222" spans="2:14" ht="15.75" customHeight="1">
      <c r="D222" s="213"/>
      <c r="E222" s="69"/>
      <c r="H222" s="223" t="s">
        <v>288</v>
      </c>
      <c r="I222" s="224"/>
      <c r="J222" s="225">
        <f ca="1">J214-J216+J219</f>
        <v>10859900.435868403</v>
      </c>
      <c r="K222" s="60"/>
    </row>
    <row r="223" spans="2:14" ht="15.75" customHeight="1">
      <c r="C223" s="44" t="s">
        <v>289</v>
      </c>
      <c r="D223" s="217">
        <f ca="1">E223/J211</f>
        <v>7.4052664670320425</v>
      </c>
      <c r="E223" s="69">
        <f ca="1">E226-E218-E221</f>
        <v>6699601.8243199987</v>
      </c>
      <c r="K223" s="68"/>
    </row>
    <row r="224" spans="2:14" ht="15.75" customHeight="1">
      <c r="C224" s="218" t="s">
        <v>285</v>
      </c>
      <c r="D224" s="219"/>
      <c r="E224" s="220">
        <f ca="1">E223/E226</f>
        <v>0.51229529057370837</v>
      </c>
    </row>
    <row r="225" spans="3:10" ht="15.75" customHeight="1">
      <c r="C225" s="68"/>
      <c r="D225" s="152"/>
      <c r="E225" s="226"/>
      <c r="H225" s="308" t="s">
        <v>341</v>
      </c>
      <c r="I225" s="308"/>
      <c r="J225" s="308"/>
    </row>
    <row r="226" spans="3:10" ht="15.75" customHeight="1">
      <c r="C226" s="227" t="s">
        <v>290</v>
      </c>
      <c r="D226" s="228">
        <f ca="1">E226/J211</f>
        <v>14.45507425754206</v>
      </c>
      <c r="E226" s="225">
        <f ca="1">SUM(E233)</f>
        <v>13077617.435868403</v>
      </c>
      <c r="H226" s="214" t="s">
        <v>342</v>
      </c>
      <c r="J226" s="225">
        <f ca="1">J222</f>
        <v>10859900.435868403</v>
      </c>
    </row>
    <row r="227" spans="3:10" ht="15.75" customHeight="1">
      <c r="H227" s="214" t="s">
        <v>343</v>
      </c>
      <c r="J227" s="71">
        <v>0</v>
      </c>
    </row>
    <row r="228" spans="3:10" ht="15.75" customHeight="1">
      <c r="C228" s="160" t="s">
        <v>291</v>
      </c>
      <c r="D228" s="160"/>
      <c r="E228" s="229" t="s">
        <v>279</v>
      </c>
      <c r="H228" s="214" t="s">
        <v>344</v>
      </c>
      <c r="J228" s="71">
        <f ca="1">SUM(J226:J227)</f>
        <v>10859900.435868403</v>
      </c>
    </row>
    <row r="229" spans="3:10" ht="15.75" customHeight="1">
      <c r="C229" s="44" t="s">
        <v>292</v>
      </c>
      <c r="D229" s="68"/>
      <c r="E229" s="231">
        <f ca="1">J222</f>
        <v>10859900.435868403</v>
      </c>
    </row>
    <row r="230" spans="3:10" ht="15.75" customHeight="1">
      <c r="C230" s="44" t="s">
        <v>293</v>
      </c>
      <c r="D230" s="68"/>
      <c r="E230" s="69">
        <f ca="1">J217</f>
        <v>2167717</v>
      </c>
    </row>
    <row r="231" spans="3:10" ht="15.75" customHeight="1">
      <c r="C231" s="44" t="s">
        <v>132</v>
      </c>
      <c r="D231" s="68"/>
      <c r="E231" s="69">
        <f>G28</f>
        <v>0</v>
      </c>
    </row>
    <row r="232" spans="3:10" ht="15.75" customHeight="1">
      <c r="C232" s="44" t="s">
        <v>287</v>
      </c>
      <c r="D232" s="68"/>
      <c r="E232" s="69">
        <f>-G160</f>
        <v>50000</v>
      </c>
    </row>
    <row r="233" spans="3:10" ht="15.75" customHeight="1">
      <c r="C233" s="227" t="s">
        <v>295</v>
      </c>
      <c r="D233" s="205"/>
      <c r="E233" s="225">
        <f ca="1">SUM(E229:E232)</f>
        <v>13077617.435868403</v>
      </c>
    </row>
  </sheetData>
  <mergeCells count="2">
    <mergeCell ref="G134:K134"/>
    <mergeCell ref="H225:J225"/>
  </mergeCells>
  <conditionalFormatting sqref="C53">
    <cfRule type="expression" dxfId="7" priority="2">
      <formula>#REF!=$C53</formula>
    </cfRule>
  </conditionalFormatting>
  <dataValidations count="2">
    <dataValidation type="list" allowBlank="1" showInputMessage="1" showErrorMessage="1" sqref="C3" xr:uid="{00000000-0002-0000-0400-000000000000}">
      <formula1>"$ bns except per share,$ mm except per share,$ in thousands except per share"</formula1>
      <formula2>0</formula2>
    </dataValidation>
    <dataValidation type="list" allowBlank="1" showInputMessage="1" showErrorMessage="1" sqref="D7" xr:uid="{00000000-0002-0000-0400-000001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80"/>
  <sheetViews>
    <sheetView showGridLines="0" zoomScale="116" zoomScaleNormal="116" workbookViewId="0">
      <selection activeCell="N40" sqref="N40"/>
    </sheetView>
  </sheetViews>
  <sheetFormatPr baseColWidth="10" defaultColWidth="11" defaultRowHeight="16"/>
  <cols>
    <col min="1" max="1" width="2.5" customWidth="1"/>
    <col min="2" max="2" width="2.1640625" customWidth="1"/>
    <col min="3" max="3" width="26.1640625" customWidth="1"/>
    <col min="4" max="4" width="12.6640625" customWidth="1"/>
    <col min="7" max="7" width="12.5" customWidth="1"/>
    <col min="12" max="12" width="2.1640625" customWidth="1"/>
  </cols>
  <sheetData>
    <row r="1" spans="2:15" ht="16.5" customHeight="1"/>
    <row r="2" spans="2:15" ht="16.5" customHeight="1">
      <c r="B2" t="s">
        <v>0</v>
      </c>
      <c r="C2" s="2" t="str">
        <f>"Financial Statement Model for "&amp;D5</f>
        <v>Financial Statement Model for StandardAero</v>
      </c>
      <c r="D2" s="3"/>
      <c r="E2" s="3"/>
      <c r="F2" s="3"/>
      <c r="G2" s="3"/>
      <c r="H2" s="3"/>
      <c r="I2" s="3"/>
      <c r="J2" s="3"/>
      <c r="K2" s="3"/>
    </row>
    <row r="3" spans="2:15" ht="15.75" customHeight="1">
      <c r="C3" s="4" t="s">
        <v>1</v>
      </c>
      <c r="D3" s="5"/>
      <c r="E3" s="5"/>
      <c r="F3" s="5"/>
      <c r="G3" s="5"/>
      <c r="H3" s="5"/>
    </row>
    <row r="5" spans="2:15" ht="15.75" customHeight="1">
      <c r="C5" s="282" t="s">
        <v>3</v>
      </c>
      <c r="D5" s="283" t="s">
        <v>4</v>
      </c>
    </row>
    <row r="6" spans="2:15" ht="15.75" customHeight="1">
      <c r="C6" s="282" t="s">
        <v>5</v>
      </c>
      <c r="D6" s="283" t="s">
        <v>6</v>
      </c>
    </row>
    <row r="7" spans="2:15" ht="15.75" customHeight="1">
      <c r="C7" t="s">
        <v>377</v>
      </c>
      <c r="D7" s="292">
        <v>1</v>
      </c>
    </row>
    <row r="8" spans="2:15" ht="15.75" customHeight="1">
      <c r="C8" t="s">
        <v>7</v>
      </c>
      <c r="D8" s="284">
        <v>25.59</v>
      </c>
    </row>
    <row r="9" spans="2:15" ht="15.75" customHeight="1">
      <c r="C9" t="s">
        <v>8</v>
      </c>
      <c r="D9" s="285">
        <v>46119</v>
      </c>
    </row>
    <row r="10" spans="2:15" ht="15.75" customHeight="1">
      <c r="C10" s="282" t="s">
        <v>9</v>
      </c>
      <c r="D10" s="286">
        <v>46022</v>
      </c>
    </row>
    <row r="11" spans="2:15" ht="15.75" customHeight="1">
      <c r="C11" t="s">
        <v>10</v>
      </c>
      <c r="D11" s="287">
        <v>334294</v>
      </c>
      <c r="M11" t="s">
        <v>11</v>
      </c>
    </row>
    <row r="13" spans="2:15" ht="15.75" customHeight="1">
      <c r="B13" t="s">
        <v>0</v>
      </c>
      <c r="C13" s="57" t="s">
        <v>61</v>
      </c>
      <c r="D13" s="6"/>
      <c r="E13" s="6"/>
      <c r="F13" s="6"/>
      <c r="G13" s="6"/>
      <c r="H13" s="6"/>
      <c r="I13" s="6"/>
      <c r="J13" s="6"/>
      <c r="K13" s="6"/>
    </row>
    <row r="14" spans="2:15" ht="15.75" customHeight="1">
      <c r="C14" t="s">
        <v>22</v>
      </c>
      <c r="D14" s="58">
        <f>E14-1</f>
        <v>2023</v>
      </c>
      <c r="E14" s="58">
        <f>F14-1</f>
        <v>2024</v>
      </c>
      <c r="F14" s="58">
        <f>YEAR(D10)</f>
        <v>2025</v>
      </c>
      <c r="G14" s="59">
        <f>F14+1</f>
        <v>2026</v>
      </c>
      <c r="H14" s="59">
        <f>G14+1</f>
        <v>2027</v>
      </c>
      <c r="I14" s="59">
        <f>H14+1</f>
        <v>2028</v>
      </c>
      <c r="J14" s="59">
        <f>I14+1</f>
        <v>2029</v>
      </c>
      <c r="K14" s="59">
        <f>J14+1</f>
        <v>2030</v>
      </c>
    </row>
    <row r="15" spans="2:15" ht="15.75" customHeight="1">
      <c r="C15" s="30" t="s">
        <v>23</v>
      </c>
      <c r="D15" s="31">
        <f>EOMONTH(E15,-12)</f>
        <v>45291</v>
      </c>
      <c r="E15" s="31">
        <f>EOMONTH(F15,-12)</f>
        <v>45657</v>
      </c>
      <c r="F15" s="31">
        <f>D10</f>
        <v>46022</v>
      </c>
      <c r="G15" s="31">
        <f>EOMONTH(F15,12)</f>
        <v>46387</v>
      </c>
      <c r="H15" s="31">
        <f>EOMONTH(G15,12)</f>
        <v>46752</v>
      </c>
      <c r="I15" s="31">
        <f>EOMONTH(H15,12)</f>
        <v>47118</v>
      </c>
      <c r="J15" s="31">
        <f>EOMONTH(I15,12)</f>
        <v>47483</v>
      </c>
      <c r="K15" s="31">
        <f>EOMONTH(J15,12)</f>
        <v>47848</v>
      </c>
      <c r="M15" s="57" t="s">
        <v>2</v>
      </c>
      <c r="N15" s="6"/>
      <c r="O15" s="6"/>
    </row>
    <row r="16" spans="2:15" ht="15.75" customHeight="1">
      <c r="C16" s="60"/>
      <c r="D16" s="61"/>
      <c r="E16" s="62"/>
      <c r="F16" s="62"/>
      <c r="G16" s="63"/>
      <c r="H16" s="64"/>
      <c r="I16" s="64"/>
      <c r="J16" s="62"/>
      <c r="K16" s="62"/>
    </row>
    <row r="17" spans="3:14" ht="15.75" customHeight="1">
      <c r="C17" s="32" t="s">
        <v>62</v>
      </c>
      <c r="D17" s="49">
        <v>4049868</v>
      </c>
      <c r="E17" s="49">
        <v>4644739</v>
      </c>
      <c r="F17" s="49">
        <v>5353952</v>
      </c>
      <c r="G17" s="91">
        <f t="shared" ref="G17:K18" si="0">F17*(1+G42)</f>
        <v>6130275.04</v>
      </c>
      <c r="H17" s="91">
        <f t="shared" si="0"/>
        <v>6896559.4199999999</v>
      </c>
      <c r="I17" s="91">
        <f t="shared" si="0"/>
        <v>7689663.7533</v>
      </c>
      <c r="J17" s="91">
        <f t="shared" si="0"/>
        <v>8497078.4473965</v>
      </c>
      <c r="K17" s="91">
        <f t="shared" si="0"/>
        <v>9346786.2921361513</v>
      </c>
    </row>
    <row r="18" spans="3:14" ht="15.75" customHeight="1">
      <c r="C18" s="32" t="s">
        <v>63</v>
      </c>
      <c r="D18" s="49">
        <v>513416</v>
      </c>
      <c r="E18" s="49">
        <v>592422</v>
      </c>
      <c r="F18" s="49">
        <v>708560</v>
      </c>
      <c r="G18" s="91">
        <f t="shared" si="0"/>
        <v>829015.2</v>
      </c>
      <c r="H18" s="91">
        <f t="shared" si="0"/>
        <v>961657.63199999987</v>
      </c>
      <c r="I18" s="91">
        <f t="shared" si="0"/>
        <v>1110714.5649599999</v>
      </c>
      <c r="J18" s="91">
        <f t="shared" si="0"/>
        <v>1282875.3225288</v>
      </c>
      <c r="K18" s="91">
        <f t="shared" si="0"/>
        <v>1475306.6209081199</v>
      </c>
    </row>
    <row r="19" spans="3:14" ht="15.75" customHeight="1">
      <c r="C19" s="25" t="s">
        <v>65</v>
      </c>
      <c r="D19" s="49">
        <f t="shared" ref="D19:K19" si="1">D18+D17</f>
        <v>4563284</v>
      </c>
      <c r="E19" s="49">
        <f t="shared" si="1"/>
        <v>5237161</v>
      </c>
      <c r="F19" s="49">
        <f t="shared" si="1"/>
        <v>6062512</v>
      </c>
      <c r="G19" s="91">
        <f t="shared" si="1"/>
        <v>6959290.2400000002</v>
      </c>
      <c r="H19" s="91">
        <f t="shared" si="1"/>
        <v>7858217.0520000001</v>
      </c>
      <c r="I19" s="91">
        <f t="shared" si="1"/>
        <v>8800378.3182599992</v>
      </c>
      <c r="J19" s="91">
        <f t="shared" si="1"/>
        <v>9779953.7699253</v>
      </c>
      <c r="K19" s="91">
        <f t="shared" si="1"/>
        <v>10822092.913044272</v>
      </c>
    </row>
    <row r="20" spans="3:14" ht="15.75" customHeight="1">
      <c r="C20" t="s">
        <v>66</v>
      </c>
      <c r="D20" s="49">
        <v>-3927965</v>
      </c>
      <c r="E20" s="49">
        <v>-4483019</v>
      </c>
      <c r="F20" s="49">
        <v>-5165060</v>
      </c>
      <c r="G20" s="91">
        <f>G21-G19</f>
        <v>-5901478.1235199999</v>
      </c>
      <c r="H20" s="91">
        <f>H21-H19</f>
        <v>-6640193.4089400005</v>
      </c>
      <c r="I20" s="91">
        <f>I21-I19</f>
        <v>-7392317.7873383993</v>
      </c>
      <c r="J20" s="91">
        <f>J21-J19</f>
        <v>-8185821.3054274758</v>
      </c>
      <c r="K20" s="91">
        <f>K21-K19</f>
        <v>-9036447.5823919661</v>
      </c>
    </row>
    <row r="21" spans="3:14" ht="15.75" customHeight="1">
      <c r="C21" s="72" t="s">
        <v>67</v>
      </c>
      <c r="D21" s="98">
        <f>SUM(D19:D20)</f>
        <v>635319</v>
      </c>
      <c r="E21" s="98">
        <f>SUM(E19:E20)</f>
        <v>754142</v>
      </c>
      <c r="F21" s="98">
        <f>SUM(F19:F20)</f>
        <v>897452</v>
      </c>
      <c r="G21" s="102">
        <f>G19*G44</f>
        <v>1057812.1164800001</v>
      </c>
      <c r="H21" s="102">
        <f>H19*H44</f>
        <v>1218023.6430599999</v>
      </c>
      <c r="I21" s="102">
        <f>I19*I44</f>
        <v>1408060.5309215998</v>
      </c>
      <c r="J21" s="102">
        <f>J19*J44</f>
        <v>1594132.464497824</v>
      </c>
      <c r="K21" s="102">
        <f>K19*K44</f>
        <v>1785645.3306523049</v>
      </c>
    </row>
    <row r="22" spans="3:14" ht="15.75" customHeight="1">
      <c r="C22" t="s">
        <v>68</v>
      </c>
      <c r="D22" s="49">
        <v>-93681</v>
      </c>
      <c r="E22" s="49">
        <v>-95457</v>
      </c>
      <c r="F22" s="49">
        <v>-98681</v>
      </c>
      <c r="G22" s="49">
        <v>-91258</v>
      </c>
      <c r="H22" s="49">
        <v>-84535</v>
      </c>
      <c r="I22" s="49">
        <v>-85364</v>
      </c>
      <c r="J22" s="49">
        <v>-84976</v>
      </c>
      <c r="K22" s="49">
        <v>-87197</v>
      </c>
      <c r="M22" t="s">
        <v>382</v>
      </c>
    </row>
    <row r="23" spans="3:14" ht="15.75" customHeight="1">
      <c r="C23" t="s">
        <v>70</v>
      </c>
      <c r="D23" s="49">
        <v>-202766</v>
      </c>
      <c r="E23" s="49">
        <v>-254092</v>
      </c>
      <c r="F23" s="49">
        <v>-247703</v>
      </c>
      <c r="G23" s="91">
        <f>-G19*G45</f>
        <v>-285330.89984000003</v>
      </c>
      <c r="H23" s="91">
        <f>-H19*H45</f>
        <v>-314328.68208</v>
      </c>
      <c r="I23" s="91">
        <f>-I19*I45</f>
        <v>-343214.75441213994</v>
      </c>
      <c r="J23" s="91">
        <f>-J19*J45</f>
        <v>-371638.2432571614</v>
      </c>
      <c r="K23" s="91">
        <f>-K19*K45</f>
        <v>-400417.43778263807</v>
      </c>
    </row>
    <row r="24" spans="3:14" ht="15.75" customHeight="1">
      <c r="C24" t="s">
        <v>71</v>
      </c>
      <c r="D24" s="49">
        <v>-1514</v>
      </c>
      <c r="E24" s="49">
        <v>-1374</v>
      </c>
      <c r="F24" s="49">
        <v>0</v>
      </c>
      <c r="G24" s="91">
        <f>F24</f>
        <v>0</v>
      </c>
      <c r="H24" s="91">
        <f>G24</f>
        <v>0</v>
      </c>
      <c r="I24" s="91">
        <f>H24</f>
        <v>0</v>
      </c>
      <c r="J24" s="91">
        <f>I24</f>
        <v>0</v>
      </c>
      <c r="K24" s="91">
        <f>J24</f>
        <v>0</v>
      </c>
    </row>
    <row r="25" spans="3:14" ht="15.75" customHeight="1">
      <c r="C25" s="72" t="s">
        <v>72</v>
      </c>
      <c r="D25" s="98">
        <f t="shared" ref="D25:K25" si="2">SUM(D21:D24)</f>
        <v>337358</v>
      </c>
      <c r="E25" s="98">
        <f t="shared" si="2"/>
        <v>403219</v>
      </c>
      <c r="F25" s="98">
        <f t="shared" si="2"/>
        <v>551068</v>
      </c>
      <c r="G25" s="102">
        <f t="shared" si="2"/>
        <v>681223.21664</v>
      </c>
      <c r="H25" s="102">
        <f t="shared" si="2"/>
        <v>819159.96097999997</v>
      </c>
      <c r="I25" s="102">
        <f t="shared" si="2"/>
        <v>979481.77650945983</v>
      </c>
      <c r="J25" s="102">
        <f t="shared" si="2"/>
        <v>1137518.2212406625</v>
      </c>
      <c r="K25" s="102">
        <f t="shared" si="2"/>
        <v>1298030.8928696669</v>
      </c>
      <c r="M25" s="72"/>
    </row>
    <row r="26" spans="3:14" ht="15.75" customHeight="1">
      <c r="C26" t="s">
        <v>73</v>
      </c>
      <c r="D26" s="49">
        <v>0</v>
      </c>
      <c r="E26" s="49">
        <v>0</v>
      </c>
      <c r="F26" s="49">
        <v>0</v>
      </c>
      <c r="G26" s="91">
        <f ca="1">G180</f>
        <v>0</v>
      </c>
      <c r="H26" s="91">
        <f ca="1">H180</f>
        <v>0</v>
      </c>
      <c r="I26" s="91">
        <f ca="1">I180</f>
        <v>0</v>
      </c>
      <c r="J26" s="91">
        <f ca="1">J180</f>
        <v>0</v>
      </c>
      <c r="K26" s="91">
        <f ca="1">K180</f>
        <v>0</v>
      </c>
    </row>
    <row r="27" spans="3:14" ht="15.75" customHeight="1">
      <c r="C27" t="s">
        <v>74</v>
      </c>
      <c r="D27" s="49">
        <v>-309645</v>
      </c>
      <c r="E27" s="49">
        <v>-282507</v>
      </c>
      <c r="F27" s="49">
        <v>-174217</v>
      </c>
      <c r="G27" s="91">
        <f ca="1">G166</f>
        <v>-138781.62900000002</v>
      </c>
      <c r="H27" s="91">
        <f ca="1">H166</f>
        <v>-134154.65700000001</v>
      </c>
      <c r="I27" s="91">
        <f ca="1">I166</f>
        <v>-126377.685</v>
      </c>
      <c r="J27" s="91">
        <f ca="1">J166</f>
        <v>-117025.713</v>
      </c>
      <c r="K27" s="91">
        <f ca="1">K166</f>
        <v>-106098.74099999999</v>
      </c>
    </row>
    <row r="28" spans="3:14" ht="15.75" customHeight="1">
      <c r="C28" t="s">
        <v>76</v>
      </c>
      <c r="D28" s="49">
        <v>-19921</v>
      </c>
      <c r="E28" s="49">
        <v>-23700</v>
      </c>
      <c r="F28" s="49">
        <v>0</v>
      </c>
      <c r="G28" s="91">
        <f t="shared" ref="G28:K29" si="3">F28</f>
        <v>0</v>
      </c>
      <c r="H28" s="91">
        <f t="shared" si="3"/>
        <v>0</v>
      </c>
      <c r="I28" s="91">
        <f t="shared" si="3"/>
        <v>0</v>
      </c>
      <c r="J28" s="91">
        <f t="shared" si="3"/>
        <v>0</v>
      </c>
      <c r="K28" s="91">
        <f t="shared" si="3"/>
        <v>0</v>
      </c>
    </row>
    <row r="29" spans="3:14" ht="15.75" customHeight="1">
      <c r="C29" t="s">
        <v>77</v>
      </c>
      <c r="D29" s="49">
        <v>-6182</v>
      </c>
      <c r="E29" s="49">
        <v>-15255</v>
      </c>
      <c r="F29" s="49">
        <v>0</v>
      </c>
      <c r="G29" s="91">
        <f t="shared" si="3"/>
        <v>0</v>
      </c>
      <c r="H29" s="91">
        <f t="shared" si="3"/>
        <v>0</v>
      </c>
      <c r="I29" s="91">
        <f t="shared" si="3"/>
        <v>0</v>
      </c>
      <c r="J29" s="91">
        <f t="shared" si="3"/>
        <v>0</v>
      </c>
      <c r="K29" s="91">
        <f t="shared" si="3"/>
        <v>0</v>
      </c>
    </row>
    <row r="30" spans="3:14" ht="15.75" customHeight="1">
      <c r="C30" t="s">
        <v>78</v>
      </c>
      <c r="D30" s="49">
        <v>3509</v>
      </c>
      <c r="E30" s="49">
        <v>0</v>
      </c>
      <c r="F30" s="49">
        <v>0</v>
      </c>
      <c r="G30" s="91">
        <v>0</v>
      </c>
      <c r="H30" s="91">
        <v>0</v>
      </c>
      <c r="I30" s="91">
        <v>0</v>
      </c>
      <c r="J30" s="91">
        <v>0</v>
      </c>
      <c r="K30" s="91">
        <v>0</v>
      </c>
    </row>
    <row r="31" spans="3:14" ht="15.75" customHeight="1">
      <c r="C31" s="72" t="s">
        <v>79</v>
      </c>
      <c r="D31" s="98">
        <f t="shared" ref="D31:K31" si="4">SUM(D25:D30)</f>
        <v>5119</v>
      </c>
      <c r="E31" s="98">
        <f t="shared" si="4"/>
        <v>81757</v>
      </c>
      <c r="F31" s="98">
        <f t="shared" si="4"/>
        <v>376851</v>
      </c>
      <c r="G31" s="102">
        <f t="shared" ca="1" si="4"/>
        <v>542441.58764000004</v>
      </c>
      <c r="H31" s="102">
        <f t="shared" ca="1" si="4"/>
        <v>685005.30397999997</v>
      </c>
      <c r="I31" s="102">
        <f t="shared" ca="1" si="4"/>
        <v>853104.09150945977</v>
      </c>
      <c r="J31" s="102">
        <f t="shared" ca="1" si="4"/>
        <v>1020492.5082406625</v>
      </c>
      <c r="K31" s="102">
        <f t="shared" ca="1" si="4"/>
        <v>1191932.151869667</v>
      </c>
      <c r="M31" s="72"/>
      <c r="N31" s="72"/>
    </row>
    <row r="32" spans="3:14" ht="15.75" customHeight="1">
      <c r="C32" t="s">
        <v>80</v>
      </c>
      <c r="D32" s="49">
        <v>-40180</v>
      </c>
      <c r="E32" s="49">
        <v>-70783</v>
      </c>
      <c r="F32" s="49">
        <v>-99435</v>
      </c>
      <c r="G32" s="91">
        <f ca="1">-G31*G46</f>
        <v>-135610.39691000001</v>
      </c>
      <c r="H32" s="91">
        <f ca="1">-H31*H46</f>
        <v>-171251.32599499999</v>
      </c>
      <c r="I32" s="91">
        <f ca="1">-I31*I46</f>
        <v>-213276.02287736494</v>
      </c>
      <c r="J32" s="91">
        <f ca="1">-J31*J46</f>
        <v>-255123.12706016563</v>
      </c>
      <c r="K32" s="91">
        <f ca="1">-K31*K46</f>
        <v>-297983.03796741675</v>
      </c>
    </row>
    <row r="33" spans="2:15" ht="15.75" customHeight="1">
      <c r="C33" s="72" t="s">
        <v>81</v>
      </c>
      <c r="D33" s="98">
        <f t="shared" ref="D33:K33" si="5">SUM(D31:D32)</f>
        <v>-35061</v>
      </c>
      <c r="E33" s="98">
        <f t="shared" si="5"/>
        <v>10974</v>
      </c>
      <c r="F33" s="98">
        <f t="shared" si="5"/>
        <v>277416</v>
      </c>
      <c r="G33" s="102">
        <f t="shared" ca="1" si="5"/>
        <v>406831.19073000003</v>
      </c>
      <c r="H33" s="102">
        <f t="shared" ca="1" si="5"/>
        <v>513753.977985</v>
      </c>
      <c r="I33" s="102">
        <f t="shared" ca="1" si="5"/>
        <v>639828.06863209489</v>
      </c>
      <c r="J33" s="102">
        <f t="shared" ca="1" si="5"/>
        <v>765369.38118049689</v>
      </c>
      <c r="K33" s="102">
        <f t="shared" ca="1" si="5"/>
        <v>893949.1139022503</v>
      </c>
      <c r="M33" s="72"/>
    </row>
    <row r="34" spans="2:15" ht="15.75" customHeight="1">
      <c r="C34" s="44"/>
      <c r="D34" s="91"/>
      <c r="E34" s="91"/>
      <c r="F34" s="91"/>
      <c r="G34" s="91"/>
      <c r="H34" s="91"/>
      <c r="I34" s="91"/>
      <c r="J34" s="91"/>
      <c r="K34" s="91"/>
    </row>
    <row r="35" spans="2:15" ht="15.75" customHeight="1">
      <c r="C35" s="95" t="s">
        <v>82</v>
      </c>
      <c r="D35" s="49">
        <v>197104</v>
      </c>
      <c r="E35" s="49">
        <v>188164</v>
      </c>
      <c r="F35" s="49">
        <v>193664</v>
      </c>
      <c r="G35" s="91">
        <f>G136</f>
        <v>193053.32600611763</v>
      </c>
      <c r="H35" s="91">
        <f>H136</f>
        <v>194030.7667549029</v>
      </c>
      <c r="I35" s="91">
        <f>I136</f>
        <v>204169.20950052125</v>
      </c>
      <c r="J35" s="91">
        <f>J136</f>
        <v>214074.74759428744</v>
      </c>
      <c r="K35" s="91">
        <f>K136</f>
        <v>227765.23894484044</v>
      </c>
    </row>
    <row r="36" spans="2:15" ht="15.75" customHeight="1">
      <c r="C36" s="97" t="s">
        <v>83</v>
      </c>
      <c r="D36" s="98">
        <f t="shared" ref="D36:K36" si="6">D25+D35</f>
        <v>534462</v>
      </c>
      <c r="E36" s="98">
        <f t="shared" si="6"/>
        <v>591383</v>
      </c>
      <c r="F36" s="98">
        <f t="shared" si="6"/>
        <v>744732</v>
      </c>
      <c r="G36" s="102">
        <f t="shared" si="6"/>
        <v>874276.54264611762</v>
      </c>
      <c r="H36" s="102">
        <f t="shared" si="6"/>
        <v>1013190.7277349029</v>
      </c>
      <c r="I36" s="102">
        <f t="shared" si="6"/>
        <v>1183650.986009981</v>
      </c>
      <c r="J36" s="102">
        <f t="shared" si="6"/>
        <v>1351592.9688349499</v>
      </c>
      <c r="K36" s="102">
        <f t="shared" si="6"/>
        <v>1525796.1318145073</v>
      </c>
      <c r="M36" s="72"/>
    </row>
    <row r="37" spans="2:15" ht="15.75" customHeight="1">
      <c r="C37" s="95" t="s">
        <v>85</v>
      </c>
      <c r="D37" s="49">
        <v>0</v>
      </c>
      <c r="E37" s="49">
        <v>17376</v>
      </c>
      <c r="F37" s="49">
        <v>13237</v>
      </c>
      <c r="G37" s="49">
        <f>F37</f>
        <v>13237</v>
      </c>
      <c r="H37" s="49">
        <f>G37</f>
        <v>13237</v>
      </c>
      <c r="I37" s="49">
        <f>H37</f>
        <v>13237</v>
      </c>
      <c r="J37" s="49">
        <f>I37</f>
        <v>13237</v>
      </c>
      <c r="K37" s="49">
        <f>J37</f>
        <v>13237</v>
      </c>
    </row>
    <row r="38" spans="2:15" ht="15.75" customHeight="1">
      <c r="C38" s="95"/>
      <c r="D38" s="49"/>
      <c r="E38" s="49"/>
      <c r="F38" s="49"/>
      <c r="G38" s="49"/>
      <c r="H38" s="49"/>
      <c r="I38" s="49"/>
      <c r="J38" s="49"/>
      <c r="K38" s="49"/>
    </row>
    <row r="39" spans="2:15" ht="15.75" customHeight="1">
      <c r="C39" s="44"/>
      <c r="G39" s="294"/>
    </row>
    <row r="40" spans="2:15" ht="15.75" customHeight="1">
      <c r="C40" s="26" t="s">
        <v>21</v>
      </c>
    </row>
    <row r="41" spans="2:15" ht="15.75" customHeight="1">
      <c r="C41" s="44" t="s">
        <v>24</v>
      </c>
      <c r="D41" s="42"/>
      <c r="E41" s="42">
        <f t="shared" ref="E41:K41" si="7">(E19-D19)/D19</f>
        <v>0.14767369289310067</v>
      </c>
      <c r="F41" s="42">
        <f t="shared" si="7"/>
        <v>0.157595116896349</v>
      </c>
      <c r="G41" s="42">
        <f t="shared" si="7"/>
        <v>0.14792189112367946</v>
      </c>
      <c r="H41" s="42">
        <f t="shared" si="7"/>
        <v>0.12916932345100754</v>
      </c>
      <c r="I41" s="42">
        <f t="shared" si="7"/>
        <v>0.11989504235190461</v>
      </c>
      <c r="J41" s="42">
        <f t="shared" si="7"/>
        <v>0.1113106069125198</v>
      </c>
      <c r="K41" s="42">
        <f t="shared" si="7"/>
        <v>0.10655869829606893</v>
      </c>
      <c r="M41" t="s">
        <v>25</v>
      </c>
      <c r="O41" s="43"/>
    </row>
    <row r="42" spans="2:15" ht="15.75" customHeight="1">
      <c r="C42" s="293" t="s">
        <v>26</v>
      </c>
      <c r="D42" s="42"/>
      <c r="E42" s="42">
        <f>(E17-D17)/D17</f>
        <v>0.14688651580742879</v>
      </c>
      <c r="F42" s="42">
        <f>(F17-E17)/E17</f>
        <v>0.15269167976930459</v>
      </c>
      <c r="G42" s="43">
        <v>0.14499999999999999</v>
      </c>
      <c r="H42" s="43">
        <v>0.125</v>
      </c>
      <c r="I42" s="43">
        <v>0.115</v>
      </c>
      <c r="J42" s="43">
        <v>0.105</v>
      </c>
      <c r="K42" s="43">
        <v>0.1</v>
      </c>
      <c r="O42" s="43"/>
    </row>
    <row r="43" spans="2:15" ht="15.75" customHeight="1">
      <c r="C43" s="293" t="s">
        <v>29</v>
      </c>
      <c r="D43" s="42"/>
      <c r="E43" s="42">
        <f>(E18-D18)/D18</f>
        <v>0.15388301104757157</v>
      </c>
      <c r="F43" s="42">
        <f>(F18-E18)/E18</f>
        <v>0.19603930981631337</v>
      </c>
      <c r="G43" s="43">
        <v>0.17</v>
      </c>
      <c r="H43" s="43">
        <v>0.16</v>
      </c>
      <c r="I43" s="43">
        <v>0.155</v>
      </c>
      <c r="J43" s="43">
        <v>0.155</v>
      </c>
      <c r="K43" s="43">
        <v>0.15</v>
      </c>
      <c r="O43" s="43"/>
    </row>
    <row r="44" spans="2:15" ht="15.75" customHeight="1">
      <c r="C44" s="44" t="s">
        <v>32</v>
      </c>
      <c r="D44" s="42">
        <f>D21/D19</f>
        <v>0.13922407634501818</v>
      </c>
      <c r="E44" s="42">
        <f>E21/E19</f>
        <v>0.14399824637814265</v>
      </c>
      <c r="F44" s="42">
        <f>F21/F19</f>
        <v>0.14803302657380307</v>
      </c>
      <c r="G44" s="43">
        <v>0.152</v>
      </c>
      <c r="H44" s="43">
        <v>0.155</v>
      </c>
      <c r="I44" s="43">
        <v>0.16</v>
      </c>
      <c r="J44" s="43">
        <v>0.16300000000000001</v>
      </c>
      <c r="K44" s="43">
        <v>0.16500000000000001</v>
      </c>
      <c r="M44" t="s">
        <v>33</v>
      </c>
      <c r="O44" s="43"/>
    </row>
    <row r="45" spans="2:15" ht="15.75" customHeight="1">
      <c r="C45" s="44" t="s">
        <v>36</v>
      </c>
      <c r="D45" s="42">
        <f>-D23/D19</f>
        <v>4.4434227630802729E-2</v>
      </c>
      <c r="E45" s="42">
        <f>-E23/E19</f>
        <v>4.8517125977223158E-2</v>
      </c>
      <c r="F45" s="42">
        <f>-F23/F19</f>
        <v>4.0858145930267847E-2</v>
      </c>
      <c r="G45" s="43">
        <v>4.1000000000000002E-2</v>
      </c>
      <c r="H45" s="43">
        <v>0.04</v>
      </c>
      <c r="I45" s="43">
        <v>3.9E-2</v>
      </c>
      <c r="J45" s="43">
        <v>3.7999999999999999E-2</v>
      </c>
      <c r="K45" s="43">
        <v>3.6999999999999998E-2</v>
      </c>
      <c r="M45" t="s">
        <v>37</v>
      </c>
      <c r="O45" s="43"/>
    </row>
    <row r="46" spans="2:15" ht="15.75" customHeight="1">
      <c r="C46" s="44" t="s">
        <v>40</v>
      </c>
      <c r="D46" s="42">
        <f>-D32/D31</f>
        <v>7.8491892947841375</v>
      </c>
      <c r="E46" s="42">
        <f>-E32/E31</f>
        <v>0.86577296133664394</v>
      </c>
      <c r="F46" s="42">
        <f>-F32/F31</f>
        <v>0.26385759889186972</v>
      </c>
      <c r="G46" s="43">
        <v>0.25</v>
      </c>
      <c r="H46" s="43">
        <v>0.25</v>
      </c>
      <c r="I46" s="43">
        <v>0.25</v>
      </c>
      <c r="J46" s="43">
        <v>0.25</v>
      </c>
      <c r="K46" s="43">
        <v>0.25</v>
      </c>
      <c r="M46" t="s">
        <v>41</v>
      </c>
      <c r="O46" s="43"/>
    </row>
    <row r="47" spans="2:15" ht="15.75" customHeight="1">
      <c r="C47" s="44"/>
      <c r="G47" s="294"/>
    </row>
    <row r="48" spans="2:15" ht="15.75" customHeight="1">
      <c r="B48" t="s">
        <v>0</v>
      </c>
      <c r="C48" s="57" t="s">
        <v>97</v>
      </c>
      <c r="D48" s="31"/>
      <c r="E48" s="31"/>
      <c r="F48" s="31"/>
      <c r="G48" s="6"/>
      <c r="H48" s="6"/>
      <c r="I48" s="6"/>
      <c r="J48" s="6"/>
      <c r="K48" s="6"/>
    </row>
    <row r="49" spans="3:16" ht="15.75" customHeight="1">
      <c r="C49" s="79" t="str">
        <f t="shared" ref="C49:K49" si="8">C14</f>
        <v xml:space="preserve">Fiscal year  </v>
      </c>
      <c r="D49" s="80">
        <f t="shared" si="8"/>
        <v>2023</v>
      </c>
      <c r="E49" s="81">
        <f t="shared" si="8"/>
        <v>2024</v>
      </c>
      <c r="F49" s="81">
        <f t="shared" si="8"/>
        <v>2025</v>
      </c>
      <c r="G49" s="83">
        <f t="shared" si="8"/>
        <v>2026</v>
      </c>
      <c r="H49" s="83">
        <f t="shared" si="8"/>
        <v>2027</v>
      </c>
      <c r="I49" s="83">
        <f t="shared" si="8"/>
        <v>2028</v>
      </c>
      <c r="J49" s="83">
        <f t="shared" si="8"/>
        <v>2029</v>
      </c>
      <c r="K49" s="83">
        <f t="shared" si="8"/>
        <v>2030</v>
      </c>
    </row>
    <row r="50" spans="3:16" ht="15.75" customHeight="1">
      <c r="C50" s="6" t="str">
        <f t="shared" ref="C50:K50" si="9">C15</f>
        <v>Fiscal year end date</v>
      </c>
      <c r="D50" s="84">
        <f t="shared" si="9"/>
        <v>45291</v>
      </c>
      <c r="E50" s="85">
        <f t="shared" si="9"/>
        <v>45657</v>
      </c>
      <c r="F50" s="85">
        <f t="shared" si="9"/>
        <v>46022</v>
      </c>
      <c r="G50" s="85">
        <f t="shared" si="9"/>
        <v>46387</v>
      </c>
      <c r="H50" s="85">
        <f t="shared" si="9"/>
        <v>46752</v>
      </c>
      <c r="I50" s="85">
        <f t="shared" si="9"/>
        <v>47118</v>
      </c>
      <c r="J50" s="85">
        <f t="shared" si="9"/>
        <v>47483</v>
      </c>
      <c r="K50" s="85">
        <f t="shared" si="9"/>
        <v>47848</v>
      </c>
    </row>
    <row r="51" spans="3:16" ht="15.75" customHeight="1">
      <c r="C51" s="25" t="s">
        <v>99</v>
      </c>
      <c r="D51" s="86"/>
      <c r="E51" s="86"/>
      <c r="F51" s="86"/>
      <c r="G51" s="86"/>
      <c r="H51" s="86"/>
      <c r="I51" s="86"/>
      <c r="J51" s="86"/>
      <c r="K51" s="86"/>
    </row>
    <row r="52" spans="3:16" ht="15.75" customHeight="1">
      <c r="C52" s="25" t="s">
        <v>100</v>
      </c>
      <c r="D52" s="86"/>
      <c r="E52" s="86"/>
      <c r="F52" s="86"/>
      <c r="G52" s="86"/>
      <c r="H52" s="86"/>
      <c r="I52" s="86"/>
      <c r="J52" s="86"/>
      <c r="K52" s="86"/>
    </row>
    <row r="53" spans="3:16" ht="15.75" customHeight="1">
      <c r="C53" s="89" t="s">
        <v>101</v>
      </c>
      <c r="D53" s="49"/>
      <c r="E53" s="49">
        <v>102581</v>
      </c>
      <c r="F53" s="49">
        <v>289717</v>
      </c>
      <c r="G53" s="91">
        <f ca="1">F53+G120</f>
        <v>510509.29624840332</v>
      </c>
      <c r="H53" s="91">
        <f ca="1">G53+H120</f>
        <v>601495.8971248595</v>
      </c>
      <c r="I53" s="91">
        <f ca="1">H53+I120</f>
        <v>807010.34523822111</v>
      </c>
      <c r="J53" s="91">
        <f ca="1">I53+J120</f>
        <v>1051121.0334052108</v>
      </c>
      <c r="K53" s="91">
        <f ca="1">J53+K120</f>
        <v>1409408.5254472441</v>
      </c>
    </row>
    <row r="54" spans="3:16" ht="15.75" customHeight="1">
      <c r="C54" s="89" t="s">
        <v>102</v>
      </c>
      <c r="D54" s="49"/>
      <c r="E54" s="49">
        <v>580668</v>
      </c>
      <c r="F54" s="49">
        <v>654390</v>
      </c>
      <c r="G54" s="91">
        <f>F54*(1+G41)</f>
        <v>751188.60633242456</v>
      </c>
      <c r="H54" s="91">
        <f>G54*(1+H41)</f>
        <v>848219.13039648917</v>
      </c>
      <c r="I54" s="91">
        <f>H54*(1+I41)</f>
        <v>949916.39895907184</v>
      </c>
      <c r="J54" s="91">
        <f>I54*(1+J41)</f>
        <v>1055652.1698433615</v>
      </c>
      <c r="K54" s="91">
        <f>J54*(1+K41)</f>
        <v>1168141.0909152906</v>
      </c>
    </row>
    <row r="55" spans="3:16" ht="15.75" customHeight="1">
      <c r="C55" s="89" t="s">
        <v>103</v>
      </c>
      <c r="D55" s="49"/>
      <c r="E55" s="49">
        <v>915200</v>
      </c>
      <c r="F55" s="49">
        <v>1071703</v>
      </c>
      <c r="G55" s="91">
        <f>F55*(1+G41)</f>
        <v>1230231.3344829206</v>
      </c>
      <c r="H55" s="91">
        <f>G55*(1+H41)</f>
        <v>1389139.4836463097</v>
      </c>
      <c r="I55" s="91">
        <f>H55*(1+I41)</f>
        <v>1555690.4208707868</v>
      </c>
      <c r="J55" s="91">
        <f>I55*(1+J41)</f>
        <v>1728855.2657859074</v>
      </c>
      <c r="K55" s="91">
        <f>J55*(1+K41)</f>
        <v>1913079.832450358</v>
      </c>
    </row>
    <row r="56" spans="3:16" ht="15.75" customHeight="1">
      <c r="C56" s="89" t="s">
        <v>104</v>
      </c>
      <c r="D56" s="49"/>
      <c r="E56" s="49">
        <v>847018</v>
      </c>
      <c r="F56" s="49">
        <v>827691</v>
      </c>
      <c r="G56" s="91">
        <f>F56*(1+((G20-F20)/F20))</f>
        <v>945700.59777319001</v>
      </c>
      <c r="H56" s="91">
        <f>G56*(1+((H20-G20)/G20))</f>
        <v>1064078.3113533934</v>
      </c>
      <c r="I56" s="91">
        <f>H56*(1+((I20-H20)/H20))</f>
        <v>1184604.8064727045</v>
      </c>
      <c r="J56" s="91">
        <f>I56*(1+((J20-I20)/I20))</f>
        <v>1311762.2296954095</v>
      </c>
      <c r="K56" s="91">
        <f>J56*(1+((K20-J20)/J20))</f>
        <v>1448073.4659263566</v>
      </c>
      <c r="P56" s="91"/>
    </row>
    <row r="57" spans="3:16" ht="15.75" customHeight="1">
      <c r="C57" s="89" t="s">
        <v>105</v>
      </c>
      <c r="D57" s="49"/>
      <c r="E57" s="49">
        <v>29707</v>
      </c>
      <c r="F57" s="49">
        <v>42776</v>
      </c>
      <c r="G57" s="91">
        <f>F57*(1+G41)</f>
        <v>49103.50681470651</v>
      </c>
      <c r="H57" s="91">
        <f>G57*(1+H41)</f>
        <v>55446.173569034094</v>
      </c>
      <c r="I57" s="91">
        <f>H57*(1+I41)</f>
        <v>62093.894897344486</v>
      </c>
      <c r="J57" s="91">
        <f>I57*(1+J41)</f>
        <v>69005.604023930122</v>
      </c>
      <c r="K57" s="91">
        <f>J57*(1+K41)</f>
        <v>76358.751363854084</v>
      </c>
    </row>
    <row r="58" spans="3:16" ht="15.75" customHeight="1">
      <c r="C58" s="89" t="s">
        <v>106</v>
      </c>
      <c r="D58" s="49"/>
      <c r="E58" s="49">
        <v>9960</v>
      </c>
      <c r="F58" s="49">
        <v>10182</v>
      </c>
      <c r="G58" s="91">
        <f>F58</f>
        <v>10182</v>
      </c>
      <c r="H58" s="91">
        <f>G58</f>
        <v>10182</v>
      </c>
      <c r="I58" s="91">
        <f>H58</f>
        <v>10182</v>
      </c>
      <c r="J58" s="91">
        <f>I58</f>
        <v>10182</v>
      </c>
      <c r="K58" s="91">
        <f>J58</f>
        <v>10182</v>
      </c>
    </row>
    <row r="59" spans="3:16" ht="15.75" customHeight="1">
      <c r="C59" s="93" t="s">
        <v>107</v>
      </c>
      <c r="D59" s="49"/>
      <c r="E59" s="98">
        <f t="shared" ref="E59:K59" si="10">SUM(E53:E58)</f>
        <v>2485134</v>
      </c>
      <c r="F59" s="98">
        <f t="shared" si="10"/>
        <v>2896459</v>
      </c>
      <c r="G59" s="98">
        <f t="shared" ca="1" si="10"/>
        <v>3496915.3416516455</v>
      </c>
      <c r="H59" s="98">
        <f t="shared" ca="1" si="10"/>
        <v>3968560.9960900862</v>
      </c>
      <c r="I59" s="98">
        <f t="shared" ca="1" si="10"/>
        <v>4569497.866438129</v>
      </c>
      <c r="J59" s="98">
        <f t="shared" ca="1" si="10"/>
        <v>5226578.3027538192</v>
      </c>
      <c r="K59" s="98">
        <f t="shared" ca="1" si="10"/>
        <v>6025243.6661031032</v>
      </c>
    </row>
    <row r="60" spans="3:16" ht="15.75" customHeight="1">
      <c r="C60" t="s">
        <v>108</v>
      </c>
      <c r="D60" s="49"/>
      <c r="E60" s="49">
        <v>568607</v>
      </c>
      <c r="F60" s="49">
        <v>579971</v>
      </c>
      <c r="G60" s="91">
        <f>G129</f>
        <v>602929.43782247358</v>
      </c>
      <c r="H60" s="91">
        <f>H129</f>
        <v>628853.4015259681</v>
      </c>
      <c r="I60" s="91">
        <f>I129</f>
        <v>657885.51995562238</v>
      </c>
      <c r="J60" s="91">
        <f>J129</f>
        <v>690149.22110763751</v>
      </c>
      <c r="K60" s="91">
        <f>K129</f>
        <v>725850.90025662479</v>
      </c>
      <c r="O60" s="91"/>
    </row>
    <row r="61" spans="3:16" ht="15.75" customHeight="1">
      <c r="C61" s="95" t="s">
        <v>109</v>
      </c>
      <c r="D61" s="49"/>
      <c r="E61" s="49">
        <v>172206</v>
      </c>
      <c r="F61" s="49">
        <v>222151</v>
      </c>
      <c r="G61" s="91">
        <f>F61</f>
        <v>222151</v>
      </c>
      <c r="H61" s="91">
        <f>G61</f>
        <v>222151</v>
      </c>
      <c r="I61" s="91">
        <f>H61</f>
        <v>222151</v>
      </c>
      <c r="J61" s="91">
        <f>I61</f>
        <v>222151</v>
      </c>
      <c r="K61" s="91">
        <f>J61</f>
        <v>222151</v>
      </c>
      <c r="O61" s="91"/>
    </row>
    <row r="62" spans="3:16" ht="15.75" customHeight="1">
      <c r="C62" s="95" t="s">
        <v>110</v>
      </c>
      <c r="D62" s="49"/>
      <c r="E62" s="49">
        <v>1004701</v>
      </c>
      <c r="F62" s="49">
        <v>920432</v>
      </c>
      <c r="G62" s="91">
        <f>F62+-77930</f>
        <v>842502</v>
      </c>
      <c r="H62" s="91">
        <f>G62+-42617</f>
        <v>799885</v>
      </c>
      <c r="I62" s="91">
        <f>H62+-42900</f>
        <v>756985</v>
      </c>
      <c r="J62" s="91">
        <f>I62+-32786</f>
        <v>724199</v>
      </c>
      <c r="K62" s="91">
        <f>J62+-34690</f>
        <v>689509</v>
      </c>
      <c r="O62" s="91"/>
    </row>
    <row r="63" spans="3:16" ht="15.75" customHeight="1">
      <c r="C63" s="95" t="s">
        <v>112</v>
      </c>
      <c r="D63" s="49"/>
      <c r="E63" s="49">
        <v>291487</v>
      </c>
      <c r="F63" s="49">
        <v>244877</v>
      </c>
      <c r="G63" s="91">
        <f>F63+-16493</f>
        <v>228384</v>
      </c>
      <c r="H63" s="91">
        <f>G63+-13531</f>
        <v>214853</v>
      </c>
      <c r="I63" s="91">
        <f>H63+-13689</f>
        <v>201164</v>
      </c>
      <c r="J63" s="91">
        <f>I63+-13626</f>
        <v>187538</v>
      </c>
      <c r="K63" s="91">
        <f>J63+-14686</f>
        <v>172852</v>
      </c>
    </row>
    <row r="64" spans="3:16" ht="15.75" customHeight="1">
      <c r="C64" s="95" t="s">
        <v>114</v>
      </c>
      <c r="D64" s="49"/>
      <c r="E64" s="49">
        <v>1685970</v>
      </c>
      <c r="F64" s="49">
        <v>1684255</v>
      </c>
      <c r="G64" s="91">
        <f>F64</f>
        <v>1684255</v>
      </c>
      <c r="H64" s="91">
        <f>G64+45000</f>
        <v>1729255</v>
      </c>
      <c r="I64" s="91">
        <f>H64+45000</f>
        <v>1774255</v>
      </c>
      <c r="J64" s="91">
        <f>I64+60000</f>
        <v>1834255</v>
      </c>
      <c r="K64" s="91">
        <f>J64+60000</f>
        <v>1894255</v>
      </c>
      <c r="M64" t="s">
        <v>383</v>
      </c>
    </row>
    <row r="65" spans="3:11" ht="15.75" customHeight="1">
      <c r="C65" s="95" t="s">
        <v>116</v>
      </c>
      <c r="D65" s="49"/>
      <c r="E65" s="49">
        <v>1079</v>
      </c>
      <c r="F65" s="49">
        <v>2832</v>
      </c>
      <c r="G65" s="91">
        <f>F65</f>
        <v>2832</v>
      </c>
      <c r="H65" s="91">
        <f>G65</f>
        <v>2832</v>
      </c>
      <c r="I65" s="91">
        <f>H65</f>
        <v>2832</v>
      </c>
      <c r="J65" s="91">
        <f>I65</f>
        <v>2832</v>
      </c>
      <c r="K65" s="91">
        <f>J65</f>
        <v>2832</v>
      </c>
    </row>
    <row r="66" spans="3:11" ht="15.75" customHeight="1">
      <c r="C66" t="s">
        <v>117</v>
      </c>
      <c r="D66" s="49"/>
      <c r="E66" s="49">
        <v>4417</v>
      </c>
      <c r="F66" s="49">
        <v>6434</v>
      </c>
      <c r="G66" s="91">
        <f>F66*(1+G41)</f>
        <v>7385.7294474897535</v>
      </c>
      <c r="H66" s="91">
        <f>G66*(1+H41)</f>
        <v>8339.7391234141887</v>
      </c>
      <c r="I66" s="91">
        <f>H66*(1+I41)</f>
        <v>9339.6324988197684</v>
      </c>
      <c r="J66" s="91">
        <f>I66*(1+J41)</f>
        <v>10379.232660603291</v>
      </c>
      <c r="K66" s="91">
        <f>J66*(1+K41)</f>
        <v>11485.230182229221</v>
      </c>
    </row>
    <row r="67" spans="3:11" ht="15.75" customHeight="1">
      <c r="C67" s="97" t="s">
        <v>118</v>
      </c>
      <c r="D67" s="98"/>
      <c r="E67" s="98">
        <f t="shared" ref="E67:K67" si="11">SUM(E59:E66)</f>
        <v>6213601</v>
      </c>
      <c r="F67" s="98">
        <f t="shared" si="11"/>
        <v>6557411</v>
      </c>
      <c r="G67" s="98">
        <f t="shared" ca="1" si="11"/>
        <v>7087354.5089216083</v>
      </c>
      <c r="H67" s="98">
        <f t="shared" ca="1" si="11"/>
        <v>7574730.1367394682</v>
      </c>
      <c r="I67" s="98">
        <f t="shared" ca="1" si="11"/>
        <v>8194110.0188925704</v>
      </c>
      <c r="J67" s="98">
        <f t="shared" ca="1" si="11"/>
        <v>8898081.7565220594</v>
      </c>
      <c r="K67" s="98">
        <f t="shared" ca="1" si="11"/>
        <v>9744178.7965419572</v>
      </c>
    </row>
    <row r="68" spans="3:11" ht="15.75" customHeight="1">
      <c r="C68" s="74" t="s">
        <v>119</v>
      </c>
      <c r="D68" s="91"/>
      <c r="G68" s="91"/>
      <c r="H68" s="91"/>
      <c r="I68" s="91"/>
      <c r="J68" s="91"/>
      <c r="K68" s="91"/>
    </row>
    <row r="69" spans="3:11" ht="15.75" customHeight="1">
      <c r="C69" s="74" t="s">
        <v>120</v>
      </c>
      <c r="D69" s="91"/>
      <c r="G69" s="91"/>
      <c r="H69" s="91"/>
      <c r="I69" s="91"/>
      <c r="J69" s="91"/>
      <c r="K69" s="91"/>
    </row>
    <row r="70" spans="3:11" ht="15.75" customHeight="1">
      <c r="C70" s="89" t="s">
        <v>121</v>
      </c>
      <c r="D70" s="49"/>
      <c r="E70" s="49">
        <v>645701</v>
      </c>
      <c r="F70" s="49">
        <v>679772</v>
      </c>
      <c r="G70" s="91">
        <f>F70*(1+(G20-F20)/F20)</f>
        <v>776691.76872706949</v>
      </c>
      <c r="H70" s="91">
        <f>G70*(1+(H20-G20)/G20)</f>
        <v>873913.86624394718</v>
      </c>
      <c r="I70" s="91">
        <f>H70*(1+(I20-H20)/H20)</f>
        <v>972900.73047255957</v>
      </c>
      <c r="J70" s="91">
        <f>I70*(1+(J20-I20)/I20)</f>
        <v>1077333.4908854971</v>
      </c>
      <c r="K70" s="91">
        <f>J70*(1+(K20-J20)/J20)</f>
        <v>1189284.1604894716</v>
      </c>
    </row>
    <row r="71" spans="3:11" ht="15.75" customHeight="1">
      <c r="C71" s="89" t="s">
        <v>122</v>
      </c>
      <c r="D71" s="49"/>
      <c r="E71" s="49">
        <v>99572</v>
      </c>
      <c r="F71" s="49">
        <v>91499</v>
      </c>
      <c r="G71" s="91">
        <f>F71*(1+G41)</f>
        <v>105033.70511592555</v>
      </c>
      <c r="H71" s="91">
        <f>G71*(1+H41)</f>
        <v>118600.83774530228</v>
      </c>
      <c r="I71" s="91">
        <f>H71*(1+I41)</f>
        <v>132820.49020974667</v>
      </c>
      <c r="J71" s="91">
        <f>I71*(1+J41)</f>
        <v>147604.81958541195</v>
      </c>
      <c r="K71" s="91">
        <f>J71*(1+K41)</f>
        <v>163333.39702265954</v>
      </c>
    </row>
    <row r="72" spans="3:11" ht="15.75" customHeight="1">
      <c r="C72" s="89" t="s">
        <v>123</v>
      </c>
      <c r="D72" s="49"/>
      <c r="E72" s="49">
        <v>79134</v>
      </c>
      <c r="F72" s="49">
        <v>74008</v>
      </c>
      <c r="G72" s="91">
        <f>F72*(1+G41)</f>
        <v>84955.403318281271</v>
      </c>
      <c r="H72" s="91">
        <f>G72*(1+H41)</f>
        <v>95929.035288411149</v>
      </c>
      <c r="I72" s="91">
        <f>H72*(1+I41)</f>
        <v>107430.45103709254</v>
      </c>
      <c r="J72" s="91">
        <f>I72*(1+J41)</f>
        <v>119388.59974291705</v>
      </c>
      <c r="K72" s="91">
        <f>J72*(1+K41)</f>
        <v>132110.49352291267</v>
      </c>
    </row>
    <row r="73" spans="3:11" ht="15.75" customHeight="1">
      <c r="C73" s="89" t="s">
        <v>124</v>
      </c>
      <c r="D73" s="49"/>
      <c r="E73" s="49">
        <v>17663</v>
      </c>
      <c r="F73" s="49">
        <v>22308</v>
      </c>
      <c r="G73" s="91">
        <f t="shared" ref="G73:K74" si="12">F73</f>
        <v>22308</v>
      </c>
      <c r="H73" s="91">
        <f t="shared" si="12"/>
        <v>22308</v>
      </c>
      <c r="I73" s="91">
        <f t="shared" si="12"/>
        <v>22308</v>
      </c>
      <c r="J73" s="91">
        <f t="shared" si="12"/>
        <v>22308</v>
      </c>
      <c r="K73" s="91">
        <f t="shared" si="12"/>
        <v>22308</v>
      </c>
    </row>
    <row r="74" spans="3:11" ht="15.75" customHeight="1">
      <c r="C74" s="89" t="s">
        <v>125</v>
      </c>
      <c r="D74" s="49"/>
      <c r="E74" s="49">
        <v>1345</v>
      </c>
      <c r="F74" s="49">
        <v>438</v>
      </c>
      <c r="G74" s="91">
        <f t="shared" si="12"/>
        <v>438</v>
      </c>
      <c r="H74" s="91">
        <f t="shared" si="12"/>
        <v>438</v>
      </c>
      <c r="I74" s="91">
        <f t="shared" si="12"/>
        <v>438</v>
      </c>
      <c r="J74" s="91">
        <f t="shared" si="12"/>
        <v>438</v>
      </c>
      <c r="K74" s="91">
        <f t="shared" si="12"/>
        <v>438</v>
      </c>
    </row>
    <row r="75" spans="3:11" ht="15.75" customHeight="1">
      <c r="C75" s="89" t="s">
        <v>126</v>
      </c>
      <c r="D75" s="49"/>
      <c r="E75" s="49">
        <v>400025</v>
      </c>
      <c r="F75" s="49">
        <v>411321</v>
      </c>
      <c r="G75" s="91">
        <f>F75*(1+G41)</f>
        <v>472164.38017888297</v>
      </c>
      <c r="H75" s="91">
        <f>G75*(1+H41)</f>
        <v>533153.53372425365</v>
      </c>
      <c r="I75" s="91">
        <f>H75*(1+I41)</f>
        <v>597075.99923019065</v>
      </c>
      <c r="J75" s="91">
        <f>I75*(1+J41)</f>
        <v>663536.8910774024</v>
      </c>
      <c r="K75" s="91">
        <f>J75*(1+K41)</f>
        <v>734242.5184620308</v>
      </c>
    </row>
    <row r="76" spans="3:11" ht="15.75" customHeight="1">
      <c r="C76" s="89" t="s">
        <v>127</v>
      </c>
      <c r="D76" s="49"/>
      <c r="E76" s="49">
        <v>6655</v>
      </c>
      <c r="F76" s="49">
        <v>13547</v>
      </c>
      <c r="G76" s="91">
        <f t="shared" ref="G76:K77" si="13">F76</f>
        <v>13547</v>
      </c>
      <c r="H76" s="91">
        <f t="shared" si="13"/>
        <v>13547</v>
      </c>
      <c r="I76" s="91">
        <f t="shared" si="13"/>
        <v>13547</v>
      </c>
      <c r="J76" s="91">
        <f t="shared" si="13"/>
        <v>13547</v>
      </c>
      <c r="K76" s="91">
        <f t="shared" si="13"/>
        <v>13547</v>
      </c>
    </row>
    <row r="77" spans="3:11" ht="15.75" customHeight="1">
      <c r="C77" s="89" t="s">
        <v>128</v>
      </c>
      <c r="D77" s="49"/>
      <c r="E77" s="49">
        <v>23449</v>
      </c>
      <c r="F77" s="49">
        <v>23444</v>
      </c>
      <c r="G77" s="91">
        <f t="shared" si="13"/>
        <v>23444</v>
      </c>
      <c r="H77" s="91">
        <f t="shared" si="13"/>
        <v>23444</v>
      </c>
      <c r="I77" s="91">
        <f t="shared" si="13"/>
        <v>23444</v>
      </c>
      <c r="J77" s="91">
        <f t="shared" si="13"/>
        <v>23444</v>
      </c>
      <c r="K77" s="91">
        <f t="shared" si="13"/>
        <v>23444</v>
      </c>
    </row>
    <row r="78" spans="3:11" ht="15.75" customHeight="1">
      <c r="C78" s="93" t="s">
        <v>130</v>
      </c>
      <c r="D78" s="49"/>
      <c r="E78" s="98">
        <f t="shared" ref="E78:K78" si="14">SUM(E70:E77)</f>
        <v>1273544</v>
      </c>
      <c r="F78" s="98">
        <f t="shared" si="14"/>
        <v>1316337</v>
      </c>
      <c r="G78" s="98">
        <f t="shared" si="14"/>
        <v>1498582.2573401593</v>
      </c>
      <c r="H78" s="98">
        <f t="shared" si="14"/>
        <v>1681334.2730019144</v>
      </c>
      <c r="I78" s="98">
        <f t="shared" si="14"/>
        <v>1869964.6709495895</v>
      </c>
      <c r="J78" s="98">
        <f t="shared" si="14"/>
        <v>2067600.8012912287</v>
      </c>
      <c r="K78" s="98">
        <f t="shared" si="14"/>
        <v>2278707.5694970745</v>
      </c>
    </row>
    <row r="79" spans="3:11" ht="16.5" customHeight="1">
      <c r="C79" s="95" t="s">
        <v>131</v>
      </c>
      <c r="D79" s="49"/>
      <c r="E79" s="49">
        <v>2207977</v>
      </c>
      <c r="F79" s="49">
        <v>2191161</v>
      </c>
      <c r="G79" s="91">
        <f ca="1">F79-F77+G159+G119</f>
        <v>2167717</v>
      </c>
      <c r="H79" s="91">
        <f ca="1">G79-G77+H159-G159+H119</f>
        <v>2044273</v>
      </c>
      <c r="I79" s="91">
        <f ca="1">H79-H77+I159-H159+I119</f>
        <v>1920829</v>
      </c>
      <c r="J79" s="91">
        <f ca="1">I79-I77+J159-I159+J119</f>
        <v>1747385</v>
      </c>
      <c r="K79" s="91">
        <f ca="1">J79-J77+K159-J159+K119</f>
        <v>1573941</v>
      </c>
    </row>
    <row r="80" spans="3:11" ht="15.75" customHeight="1">
      <c r="C80" s="95" t="s">
        <v>133</v>
      </c>
      <c r="D80" s="49"/>
      <c r="E80" s="49">
        <v>164224</v>
      </c>
      <c r="F80" s="49">
        <v>212365</v>
      </c>
      <c r="G80" s="91">
        <f t="shared" ref="G80:K82" si="15">F80</f>
        <v>212365</v>
      </c>
      <c r="H80" s="91">
        <f t="shared" si="15"/>
        <v>212365</v>
      </c>
      <c r="I80" s="91">
        <f t="shared" si="15"/>
        <v>212365</v>
      </c>
      <c r="J80" s="91">
        <f t="shared" si="15"/>
        <v>212365</v>
      </c>
      <c r="K80" s="91">
        <f t="shared" si="15"/>
        <v>212365</v>
      </c>
    </row>
    <row r="81" spans="3:11" ht="15.75" customHeight="1">
      <c r="C81" s="95" t="s">
        <v>134</v>
      </c>
      <c r="D81" s="49"/>
      <c r="E81" s="49">
        <v>169824</v>
      </c>
      <c r="F81" s="49">
        <v>157206</v>
      </c>
      <c r="G81" s="91">
        <f t="shared" si="15"/>
        <v>157206</v>
      </c>
      <c r="H81" s="91">
        <f t="shared" si="15"/>
        <v>157206</v>
      </c>
      <c r="I81" s="91">
        <f t="shared" si="15"/>
        <v>157206</v>
      </c>
      <c r="J81" s="91">
        <f t="shared" si="15"/>
        <v>157206</v>
      </c>
      <c r="K81" s="91">
        <f t="shared" si="15"/>
        <v>157206</v>
      </c>
    </row>
    <row r="82" spans="3:11" ht="15.75" customHeight="1">
      <c r="C82" s="95" t="s">
        <v>135</v>
      </c>
      <c r="D82" s="49"/>
      <c r="E82" s="49">
        <v>0</v>
      </c>
      <c r="F82" s="49">
        <v>5770</v>
      </c>
      <c r="G82" s="91">
        <f t="shared" si="15"/>
        <v>5770</v>
      </c>
      <c r="H82" s="91">
        <f t="shared" si="15"/>
        <v>5770</v>
      </c>
      <c r="I82" s="91">
        <f t="shared" si="15"/>
        <v>5770</v>
      </c>
      <c r="J82" s="91">
        <f t="shared" si="15"/>
        <v>5770</v>
      </c>
      <c r="K82" s="91">
        <f t="shared" si="15"/>
        <v>5770</v>
      </c>
    </row>
    <row r="83" spans="3:11" ht="15.75" customHeight="1">
      <c r="C83" s="95" t="s">
        <v>136</v>
      </c>
      <c r="D83" s="49"/>
      <c r="E83" s="49">
        <v>24628</v>
      </c>
      <c r="F83" s="49">
        <v>7261</v>
      </c>
      <c r="G83" s="91">
        <f>F83*(1+G41)</f>
        <v>8335.0608514490359</v>
      </c>
      <c r="H83" s="91">
        <f>G83*(1+H41)</f>
        <v>9411.6950225536875</v>
      </c>
      <c r="I83" s="91">
        <f>H83*(1+I41)</f>
        <v>10540.110595885972</v>
      </c>
      <c r="J83" s="91">
        <f>I83*(1+J41)</f>
        <v>11713.33670323912</v>
      </c>
      <c r="K83" s="91">
        <f>J83*(1+K41)</f>
        <v>12961.494615039848</v>
      </c>
    </row>
    <row r="84" spans="3:11" ht="15.75" customHeight="1">
      <c r="C84" s="97" t="s">
        <v>137</v>
      </c>
      <c r="D84" s="98"/>
      <c r="E84" s="98">
        <f t="shared" ref="E84:K84" si="16">SUM(E78:E83)</f>
        <v>3840197</v>
      </c>
      <c r="F84" s="98">
        <f t="shared" si="16"/>
        <v>3890100</v>
      </c>
      <c r="G84" s="98">
        <f t="shared" ca="1" si="16"/>
        <v>4049975.3181916084</v>
      </c>
      <c r="H84" s="98">
        <f t="shared" ca="1" si="16"/>
        <v>4110359.968024468</v>
      </c>
      <c r="I84" s="98">
        <f t="shared" ca="1" si="16"/>
        <v>4176674.7815454756</v>
      </c>
      <c r="J84" s="98">
        <f t="shared" ca="1" si="16"/>
        <v>4202040.1379944682</v>
      </c>
      <c r="K84" s="98">
        <f t="shared" ca="1" si="16"/>
        <v>4240951.0641121147</v>
      </c>
    </row>
    <row r="85" spans="3:11" ht="15.75" customHeight="1">
      <c r="C85" s="97" t="s">
        <v>337</v>
      </c>
      <c r="D85" s="98"/>
      <c r="E85" s="49">
        <v>0</v>
      </c>
      <c r="F85" s="49">
        <v>0</v>
      </c>
      <c r="G85" s="102">
        <v>0</v>
      </c>
      <c r="H85" s="102">
        <v>0</v>
      </c>
      <c r="I85" s="102">
        <v>0</v>
      </c>
      <c r="J85" s="102">
        <v>0</v>
      </c>
      <c r="K85" s="102">
        <v>0</v>
      </c>
    </row>
    <row r="86" spans="3:11" ht="16.5" customHeight="1">
      <c r="C86" s="97" t="s">
        <v>139</v>
      </c>
      <c r="D86" s="98"/>
      <c r="E86" s="98"/>
      <c r="F86" s="98"/>
      <c r="G86" s="91"/>
      <c r="H86" s="91"/>
      <c r="I86" s="91"/>
      <c r="J86" s="91"/>
      <c r="K86" s="91"/>
    </row>
    <row r="87" spans="3:11" ht="15.75" customHeight="1">
      <c r="C87" s="89" t="s">
        <v>140</v>
      </c>
      <c r="D87" s="49"/>
      <c r="E87" s="49">
        <v>3345</v>
      </c>
      <c r="F87" s="49">
        <v>3345</v>
      </c>
      <c r="G87" s="91">
        <f>F87</f>
        <v>3345</v>
      </c>
      <c r="H87" s="91">
        <f>G87</f>
        <v>3345</v>
      </c>
      <c r="I87" s="91">
        <f>H87</f>
        <v>3345</v>
      </c>
      <c r="J87" s="91">
        <f>I87</f>
        <v>3345</v>
      </c>
      <c r="K87" s="91">
        <f>J87</f>
        <v>3345</v>
      </c>
    </row>
    <row r="88" spans="3:11" ht="15.75" customHeight="1">
      <c r="C88" s="89" t="s">
        <v>141</v>
      </c>
      <c r="D88" s="49"/>
      <c r="E88" s="49">
        <v>0</v>
      </c>
      <c r="F88" s="49">
        <v>0</v>
      </c>
      <c r="G88" s="91">
        <v>0</v>
      </c>
      <c r="H88" s="91">
        <v>0</v>
      </c>
      <c r="I88" s="91">
        <v>0</v>
      </c>
      <c r="J88" s="91">
        <v>0</v>
      </c>
      <c r="K88" s="91">
        <v>0</v>
      </c>
    </row>
    <row r="89" spans="3:11" ht="15.75" customHeight="1">
      <c r="C89" s="89" t="s">
        <v>379</v>
      </c>
      <c r="D89" s="49"/>
      <c r="E89" s="49">
        <v>3944802</v>
      </c>
      <c r="F89" s="49">
        <v>3958039</v>
      </c>
      <c r="G89" s="91">
        <f>F89+G37</f>
        <v>3971276</v>
      </c>
      <c r="H89" s="91">
        <f>G89+H37</f>
        <v>3984513</v>
      </c>
      <c r="I89" s="91">
        <f>H89+I37</f>
        <v>3997750</v>
      </c>
      <c r="J89" s="91">
        <f>I89+J37</f>
        <v>4010987</v>
      </c>
      <c r="K89" s="91">
        <f>J89+K37</f>
        <v>4024224</v>
      </c>
    </row>
    <row r="90" spans="3:11" ht="15.75" customHeight="1">
      <c r="C90" s="89" t="s">
        <v>143</v>
      </c>
      <c r="D90" s="49"/>
      <c r="E90" s="49">
        <v>-1563321</v>
      </c>
      <c r="F90" s="49">
        <v>-1285904</v>
      </c>
      <c r="G90" s="91">
        <f ca="1">F90+G33</f>
        <v>-879072.80926999997</v>
      </c>
      <c r="H90" s="91">
        <f ca="1">G90+H33</f>
        <v>-365318.83128499996</v>
      </c>
      <c r="I90" s="91">
        <f ca="1">H90+I33</f>
        <v>274509.23734709492</v>
      </c>
      <c r="J90" s="91">
        <f ca="1">I90+J33</f>
        <v>1039878.6185275918</v>
      </c>
      <c r="K90" s="91">
        <f ca="1">J90+K33</f>
        <v>1933827.732429842</v>
      </c>
    </row>
    <row r="91" spans="3:11" ht="15.75" customHeight="1">
      <c r="C91" s="89" t="s">
        <v>144</v>
      </c>
      <c r="D91" s="101"/>
      <c r="E91" s="49">
        <v>-11422</v>
      </c>
      <c r="F91" s="49">
        <v>-8169</v>
      </c>
      <c r="G91" s="91">
        <f>F91</f>
        <v>-8169</v>
      </c>
      <c r="H91" s="91">
        <f>G91</f>
        <v>-8169</v>
      </c>
      <c r="I91" s="91">
        <f>H91</f>
        <v>-8169</v>
      </c>
      <c r="J91" s="91">
        <f>I91</f>
        <v>-8169</v>
      </c>
      <c r="K91" s="91">
        <f>J91</f>
        <v>-8169</v>
      </c>
    </row>
    <row r="92" spans="3:11" ht="15.75" customHeight="1">
      <c r="C92" s="89" t="s">
        <v>145</v>
      </c>
      <c r="D92" s="49"/>
      <c r="E92" s="49">
        <v>0</v>
      </c>
      <c r="F92" s="49">
        <v>0</v>
      </c>
      <c r="G92" s="91">
        <f>F92+G116</f>
        <v>-50000</v>
      </c>
      <c r="H92" s="91">
        <f>G92+H116</f>
        <v>-150000</v>
      </c>
      <c r="I92" s="91">
        <f>H92+I116</f>
        <v>-250000</v>
      </c>
      <c r="J92" s="91">
        <f>I92+J116</f>
        <v>-350000</v>
      </c>
      <c r="K92" s="91">
        <f>J92+K116</f>
        <v>-450000</v>
      </c>
    </row>
    <row r="93" spans="3:11" ht="15.75" customHeight="1">
      <c r="C93" s="93" t="s">
        <v>146</v>
      </c>
      <c r="D93" s="102"/>
      <c r="E93" s="102">
        <f t="shared" ref="E93:K93" si="17">SUM(E87:E92)</f>
        <v>2373404</v>
      </c>
      <c r="F93" s="102">
        <f t="shared" si="17"/>
        <v>2667311</v>
      </c>
      <c r="G93" s="102">
        <f t="shared" ca="1" si="17"/>
        <v>3037379.1907299999</v>
      </c>
      <c r="H93" s="102">
        <f t="shared" ca="1" si="17"/>
        <v>3464370.1687150002</v>
      </c>
      <c r="I93" s="102">
        <f t="shared" ca="1" si="17"/>
        <v>4017435.2373470953</v>
      </c>
      <c r="J93" s="102">
        <f t="shared" ca="1" si="17"/>
        <v>4696041.6185275922</v>
      </c>
      <c r="K93" s="102">
        <f t="shared" ca="1" si="17"/>
        <v>5503227.7324298415</v>
      </c>
    </row>
    <row r="94" spans="3:11" ht="15.75" customHeight="1">
      <c r="C94" s="97" t="s">
        <v>147</v>
      </c>
      <c r="D94" s="91"/>
      <c r="E94" s="91">
        <f t="shared" ref="E94:K94" si="18">SUM(E93,E84)</f>
        <v>6213601</v>
      </c>
      <c r="F94" s="91">
        <f t="shared" si="18"/>
        <v>6557411</v>
      </c>
      <c r="G94" s="91">
        <f t="shared" ca="1" si="18"/>
        <v>7087354.5089216083</v>
      </c>
      <c r="H94" s="91">
        <f t="shared" ca="1" si="18"/>
        <v>7574730.1367394682</v>
      </c>
      <c r="I94" s="91">
        <f t="shared" ca="1" si="18"/>
        <v>8194110.0188925713</v>
      </c>
      <c r="J94" s="91">
        <f t="shared" ca="1" si="18"/>
        <v>8898081.7565220594</v>
      </c>
      <c r="K94" s="91">
        <f t="shared" ca="1" si="18"/>
        <v>9744178.7965419553</v>
      </c>
    </row>
    <row r="95" spans="3:11" ht="15.75" customHeight="1">
      <c r="C95" s="97"/>
      <c r="D95" s="91"/>
      <c r="E95" s="91"/>
      <c r="F95" s="91"/>
    </row>
    <row r="96" spans="3:11" ht="15.75" customHeight="1">
      <c r="C96" s="60" t="s">
        <v>148</v>
      </c>
      <c r="D96" s="103"/>
      <c r="E96" s="103">
        <f t="shared" ref="E96:K96" si="19">E67-E94</f>
        <v>0</v>
      </c>
      <c r="F96" s="103">
        <f t="shared" si="19"/>
        <v>0</v>
      </c>
      <c r="G96" s="103">
        <f t="shared" ca="1" si="19"/>
        <v>0</v>
      </c>
      <c r="H96" s="103">
        <f t="shared" ca="1" si="19"/>
        <v>0</v>
      </c>
      <c r="I96" s="103">
        <f t="shared" ca="1" si="19"/>
        <v>0</v>
      </c>
      <c r="J96" s="103">
        <f t="shared" ca="1" si="19"/>
        <v>0</v>
      </c>
      <c r="K96" s="103">
        <f t="shared" ca="1" si="19"/>
        <v>0</v>
      </c>
    </row>
    <row r="97" spans="2:13" ht="15.75" customHeight="1">
      <c r="E97" s="91"/>
      <c r="F97" s="91"/>
      <c r="H97" s="91"/>
      <c r="I97" s="91"/>
      <c r="J97" s="91"/>
      <c r="K97" s="91"/>
    </row>
    <row r="98" spans="2:13" ht="15.75" customHeight="1">
      <c r="B98" t="s">
        <v>0</v>
      </c>
      <c r="C98" s="57" t="s">
        <v>149</v>
      </c>
      <c r="D98" s="31"/>
      <c r="E98" s="31"/>
      <c r="F98" s="31"/>
      <c r="G98" s="31"/>
      <c r="H98" s="31"/>
      <c r="I98" s="31"/>
      <c r="J98" s="31"/>
      <c r="K98" s="31"/>
    </row>
    <row r="99" spans="2:13" ht="15.75" customHeight="1">
      <c r="C99" s="79" t="str">
        <f>C14</f>
        <v xml:space="preserve">Fiscal year  </v>
      </c>
      <c r="D99" s="81"/>
      <c r="E99" s="81"/>
      <c r="F99" s="81"/>
      <c r="G99" s="83">
        <f t="shared" ref="G99:K100" si="20">G14</f>
        <v>2026</v>
      </c>
      <c r="H99" s="83">
        <f t="shared" si="20"/>
        <v>2027</v>
      </c>
      <c r="I99" s="83">
        <f t="shared" si="20"/>
        <v>2028</v>
      </c>
      <c r="J99" s="83">
        <f t="shared" si="20"/>
        <v>2029</v>
      </c>
      <c r="K99" s="83">
        <f t="shared" si="20"/>
        <v>2030</v>
      </c>
    </row>
    <row r="100" spans="2:13" ht="15.75" customHeight="1">
      <c r="C100" s="6" t="str">
        <f>C15</f>
        <v>Fiscal year end date</v>
      </c>
      <c r="D100" s="85"/>
      <c r="E100" s="85"/>
      <c r="F100" s="85"/>
      <c r="G100" s="85">
        <f t="shared" si="20"/>
        <v>46387</v>
      </c>
      <c r="H100" s="85">
        <f t="shared" si="20"/>
        <v>46752</v>
      </c>
      <c r="I100" s="85">
        <f t="shared" si="20"/>
        <v>47118</v>
      </c>
      <c r="J100" s="85">
        <f t="shared" si="20"/>
        <v>47483</v>
      </c>
      <c r="K100" s="85">
        <f t="shared" si="20"/>
        <v>47848</v>
      </c>
    </row>
    <row r="102" spans="2:13" ht="15.75" customHeight="1">
      <c r="C102" t="s">
        <v>81</v>
      </c>
      <c r="D102" s="104"/>
      <c r="E102" s="104"/>
      <c r="F102" s="104"/>
      <c r="G102" s="91">
        <f ca="1">G33</f>
        <v>406831.19073000003</v>
      </c>
      <c r="H102" s="91">
        <f ca="1">H33</f>
        <v>513753.977985</v>
      </c>
      <c r="I102" s="91">
        <f ca="1">I33</f>
        <v>639828.06863209489</v>
      </c>
      <c r="J102" s="91">
        <f ca="1">J33</f>
        <v>765369.38118049689</v>
      </c>
      <c r="K102" s="91">
        <f ca="1">K33</f>
        <v>893949.1139022503</v>
      </c>
      <c r="M102" s="72"/>
    </row>
    <row r="103" spans="2:13" ht="15.75" customHeight="1">
      <c r="C103" t="s">
        <v>150</v>
      </c>
      <c r="D103" s="104"/>
      <c r="E103" s="104"/>
      <c r="F103" s="104"/>
      <c r="G103" s="91">
        <f>G35</f>
        <v>193053.32600611763</v>
      </c>
      <c r="H103" s="91">
        <f>H35</f>
        <v>194030.7667549029</v>
      </c>
      <c r="I103" s="91">
        <f>I35</f>
        <v>204169.20950052125</v>
      </c>
      <c r="J103" s="91">
        <f>J35</f>
        <v>214074.74759428744</v>
      </c>
      <c r="K103" s="91">
        <f>K35</f>
        <v>227765.23894484044</v>
      </c>
    </row>
    <row r="104" spans="2:13" ht="15.75" customHeight="1">
      <c r="C104" t="s">
        <v>85</v>
      </c>
      <c r="D104" s="104"/>
      <c r="E104" s="104"/>
      <c r="F104" s="104"/>
      <c r="G104" s="91">
        <f>G37</f>
        <v>13237</v>
      </c>
      <c r="H104" s="91">
        <f>H37</f>
        <v>13237</v>
      </c>
      <c r="I104" s="91">
        <f>I37</f>
        <v>13237</v>
      </c>
      <c r="J104" s="91">
        <f>J37</f>
        <v>13237</v>
      </c>
      <c r="K104" s="91">
        <f>K37</f>
        <v>13237</v>
      </c>
    </row>
    <row r="105" spans="2:13" ht="15.75" customHeight="1">
      <c r="C105" t="s">
        <v>152</v>
      </c>
      <c r="D105" s="91"/>
      <c r="E105" s="91"/>
      <c r="F105" s="91"/>
      <c r="G105" s="91">
        <f>F54+F55+F56+F57-G54-G55-G56-G57</f>
        <v>-379664.04540324165</v>
      </c>
      <c r="H105" s="91">
        <f>G54+G55+G56+G57-H54-H55-H56-H57</f>
        <v>-380659.05356198456</v>
      </c>
      <c r="I105" s="91">
        <f>H54+H55+H56+H57-I54-I55-I56-I57</f>
        <v>-395422.42223468091</v>
      </c>
      <c r="J105" s="91">
        <f>I54+I55+I56+I57-J54-J55-J56-J57</f>
        <v>-412969.74814870069</v>
      </c>
      <c r="K105" s="91">
        <f>J54+J55+J56+J57-K54-K55-K56-K57</f>
        <v>-440377.87130725052</v>
      </c>
    </row>
    <row r="106" spans="2:13" ht="15.75" customHeight="1">
      <c r="C106" t="s">
        <v>153</v>
      </c>
      <c r="D106" s="91"/>
      <c r="E106" s="91"/>
      <c r="F106" s="91"/>
      <c r="G106" s="91">
        <f>G70+G71+G72+G75-F70-F71-F72-F75</f>
        <v>182245.25734015927</v>
      </c>
      <c r="H106" s="91">
        <f>H70+H71+H72+H75-G70-G71-G72-G75</f>
        <v>182752.01566175511</v>
      </c>
      <c r="I106" s="91">
        <f>I70+I71+I72+I75-H70-H71-H72-H75</f>
        <v>188630.3979476752</v>
      </c>
      <c r="J106" s="91">
        <f>J70+J71+J72+J75-I70-I71-I72-I75</f>
        <v>197636.13034163928</v>
      </c>
      <c r="K106" s="91">
        <f>K70+K71+K72+K75-J70-J71-J72-J75</f>
        <v>211106.76820584608</v>
      </c>
    </row>
    <row r="107" spans="2:13" ht="15.75" customHeight="1">
      <c r="C107" t="s">
        <v>117</v>
      </c>
      <c r="G107" s="91">
        <f>-G66+F66</f>
        <v>-951.72944748975351</v>
      </c>
      <c r="H107" s="91">
        <f>-H66+G66</f>
        <v>-954.00967592443521</v>
      </c>
      <c r="I107" s="91">
        <f>-I66+H66</f>
        <v>-999.89337540557972</v>
      </c>
      <c r="J107" s="91">
        <f>-J66+I66</f>
        <v>-1039.6001617835227</v>
      </c>
      <c r="K107" s="91">
        <f>-K66+J66</f>
        <v>-1105.9975216259299</v>
      </c>
    </row>
    <row r="108" spans="2:13" ht="15.75" customHeight="1">
      <c r="C108" t="s">
        <v>136</v>
      </c>
      <c r="G108" s="91">
        <f>G83-F83</f>
        <v>1074.0608514490359</v>
      </c>
      <c r="H108" s="91">
        <f>H83-G83</f>
        <v>1076.6341711046516</v>
      </c>
      <c r="I108" s="91">
        <f>I83-H83</f>
        <v>1128.4155733322841</v>
      </c>
      <c r="J108" s="91">
        <f>J83-I83</f>
        <v>1173.2261073531481</v>
      </c>
      <c r="K108" s="91">
        <f>K83-J83</f>
        <v>1248.1579118007285</v>
      </c>
      <c r="M108" s="72"/>
    </row>
    <row r="109" spans="2:13" ht="15.75" customHeight="1">
      <c r="C109" s="72" t="s">
        <v>154</v>
      </c>
      <c r="G109" s="102">
        <f ca="1">SUM(G102:G108)</f>
        <v>415825.06007699453</v>
      </c>
      <c r="H109" s="102">
        <f ca="1">SUM(H102:H108)</f>
        <v>523237.33133485366</v>
      </c>
      <c r="I109" s="102">
        <f ca="1">SUM(I102:I108)</f>
        <v>650570.77604353707</v>
      </c>
      <c r="J109" s="102">
        <f ca="1">SUM(J102:J108)</f>
        <v>777481.13691329246</v>
      </c>
      <c r="K109" s="102">
        <f ca="1">SUM(K102:K108)</f>
        <v>905822.41013586102</v>
      </c>
    </row>
    <row r="110" spans="2:13" ht="15.75" customHeight="1">
      <c r="C110" t="s">
        <v>155</v>
      </c>
      <c r="G110" s="49">
        <v>0</v>
      </c>
      <c r="H110" s="49">
        <v>-75000</v>
      </c>
      <c r="I110" s="49">
        <v>-75000</v>
      </c>
      <c r="J110" s="49">
        <v>-100000</v>
      </c>
      <c r="K110" s="49">
        <v>-100000</v>
      </c>
      <c r="M110" t="s">
        <v>156</v>
      </c>
    </row>
    <row r="111" spans="2:13" ht="15.75" customHeight="1">
      <c r="C111" t="s">
        <v>157</v>
      </c>
      <c r="G111" s="91">
        <f>-G127</f>
        <v>-94588.763828591196</v>
      </c>
      <c r="H111" s="91">
        <f>-H127</f>
        <v>-106806.73045839745</v>
      </c>
      <c r="I111" s="91">
        <f>-I127</f>
        <v>-119612.32793017547</v>
      </c>
      <c r="J111" s="91">
        <f>-J127</f>
        <v>-132926.44874630266</v>
      </c>
      <c r="K111" s="91">
        <f>-K127</f>
        <v>-147090.91809382779</v>
      </c>
    </row>
    <row r="112" spans="2:13" ht="15.75" customHeight="1">
      <c r="C112" s="72" t="s">
        <v>158</v>
      </c>
      <c r="G112" s="102">
        <f>G111+G110+G113</f>
        <v>-121588.7638285912</v>
      </c>
      <c r="H112" s="102">
        <f>H111+H110+H113</f>
        <v>-208806.73045839745</v>
      </c>
      <c r="I112" s="102">
        <f>I111+I110+I113</f>
        <v>-221612.32793017547</v>
      </c>
      <c r="J112" s="102">
        <f>J111+J110+J113</f>
        <v>-259926.44874630266</v>
      </c>
      <c r="K112" s="102">
        <f>K111+K110+K113</f>
        <v>-274090.91809382779</v>
      </c>
    </row>
    <row r="113" spans="2:13" ht="15.75" customHeight="1">
      <c r="C113" t="s">
        <v>159</v>
      </c>
      <c r="G113" s="49">
        <v>-27000</v>
      </c>
      <c r="H113" s="49">
        <v>-27000</v>
      </c>
      <c r="I113" s="49">
        <v>-27000</v>
      </c>
      <c r="J113" s="49">
        <v>-27000</v>
      </c>
      <c r="K113" s="49">
        <v>-27000</v>
      </c>
      <c r="M113" t="s">
        <v>160</v>
      </c>
    </row>
    <row r="114" spans="2:13" ht="15.75" customHeight="1">
      <c r="C114" t="s">
        <v>131</v>
      </c>
      <c r="G114" s="91">
        <f>-G77</f>
        <v>-23444</v>
      </c>
      <c r="H114" s="91">
        <f>-H77</f>
        <v>-23444</v>
      </c>
      <c r="I114" s="91">
        <f>-I77</f>
        <v>-23444</v>
      </c>
      <c r="J114" s="91">
        <f>-J77</f>
        <v>-23444</v>
      </c>
      <c r="K114" s="91">
        <f>-K77</f>
        <v>-23444</v>
      </c>
    </row>
    <row r="115" spans="2:13" ht="15.75" customHeight="1">
      <c r="C115" t="s">
        <v>138</v>
      </c>
      <c r="G115" s="91">
        <v>0</v>
      </c>
      <c r="H115" s="91">
        <v>0</v>
      </c>
      <c r="I115" s="91">
        <v>0</v>
      </c>
      <c r="J115" s="91">
        <v>0</v>
      </c>
      <c r="K115" s="91">
        <v>0</v>
      </c>
    </row>
    <row r="116" spans="2:13" ht="18" customHeight="1">
      <c r="C116" t="s">
        <v>161</v>
      </c>
      <c r="F116" s="289"/>
      <c r="G116" s="49">
        <v>-50000</v>
      </c>
      <c r="H116" s="49">
        <v>-100000</v>
      </c>
      <c r="I116" s="49">
        <v>-100000</v>
      </c>
      <c r="J116" s="49">
        <v>-100000</v>
      </c>
      <c r="K116" s="49">
        <v>-100000</v>
      </c>
      <c r="M116" t="s">
        <v>162</v>
      </c>
    </row>
    <row r="117" spans="2:13" ht="15.75" customHeight="1">
      <c r="C117" t="s">
        <v>163</v>
      </c>
      <c r="G117" s="91">
        <v>0</v>
      </c>
      <c r="H117" s="91">
        <v>0</v>
      </c>
      <c r="I117" s="91">
        <v>0</v>
      </c>
      <c r="J117" s="91">
        <v>0</v>
      </c>
      <c r="K117" s="91">
        <v>0</v>
      </c>
    </row>
    <row r="118" spans="2:13" ht="15.75" customHeight="1">
      <c r="C118" s="72" t="s">
        <v>164</v>
      </c>
      <c r="G118" s="91">
        <f>SUM(G114:G117)+G119</f>
        <v>-73444</v>
      </c>
      <c r="H118" s="91">
        <f>SUM(H114:H117)+H119</f>
        <v>-223444</v>
      </c>
      <c r="I118" s="91">
        <f>SUM(I114:I117)+I119</f>
        <v>-223444</v>
      </c>
      <c r="J118" s="91">
        <f>SUM(J114:J117)+J119</f>
        <v>-273444</v>
      </c>
      <c r="K118" s="91">
        <f>SUM(K114:K117)+K119</f>
        <v>-273444</v>
      </c>
    </row>
    <row r="119" spans="2:13" ht="15.75" customHeight="1">
      <c r="C119" t="s">
        <v>165</v>
      </c>
      <c r="G119" s="49">
        <v>0</v>
      </c>
      <c r="H119" s="49">
        <v>-100000</v>
      </c>
      <c r="I119" s="49">
        <v>-100000</v>
      </c>
      <c r="J119" s="49">
        <v>-150000</v>
      </c>
      <c r="K119" s="49">
        <v>-150000</v>
      </c>
      <c r="M119" t="s">
        <v>166</v>
      </c>
    </row>
    <row r="120" spans="2:13" ht="15.75" customHeight="1">
      <c r="C120" s="72" t="s">
        <v>167</v>
      </c>
      <c r="G120" s="98">
        <f ca="1">G109+G112+G118</f>
        <v>220792.29624840332</v>
      </c>
      <c r="H120" s="98">
        <f ca="1">H109+H112+H118</f>
        <v>90986.600876456243</v>
      </c>
      <c r="I120" s="98">
        <f ca="1">I109+I112+I118</f>
        <v>205514.44811336161</v>
      </c>
      <c r="J120" s="98">
        <f ca="1">J109+J112+J118</f>
        <v>244110.68816698983</v>
      </c>
      <c r="K120" s="98">
        <f ca="1">K109+K112+K118</f>
        <v>358287.49204203323</v>
      </c>
    </row>
    <row r="122" spans="2:13" ht="15.75" customHeight="1">
      <c r="B122" t="s">
        <v>0</v>
      </c>
      <c r="C122" s="57" t="s">
        <v>168</v>
      </c>
      <c r="D122" s="6"/>
      <c r="E122" s="6"/>
      <c r="F122" s="6"/>
      <c r="G122" s="6"/>
      <c r="H122" s="6"/>
      <c r="I122" s="6"/>
      <c r="J122" s="6"/>
      <c r="K122" s="6"/>
    </row>
    <row r="123" spans="2:13" ht="15.75" customHeight="1">
      <c r="C123" s="79" t="str">
        <f t="shared" ref="C123:K123" si="21">C14</f>
        <v xml:space="preserve">Fiscal year  </v>
      </c>
      <c r="D123" s="81">
        <f t="shared" si="21"/>
        <v>2023</v>
      </c>
      <c r="E123" s="81">
        <f t="shared" si="21"/>
        <v>2024</v>
      </c>
      <c r="F123" s="81">
        <f t="shared" si="21"/>
        <v>2025</v>
      </c>
      <c r="G123" s="83">
        <f t="shared" si="21"/>
        <v>2026</v>
      </c>
      <c r="H123" s="83">
        <f t="shared" si="21"/>
        <v>2027</v>
      </c>
      <c r="I123" s="83">
        <f t="shared" si="21"/>
        <v>2028</v>
      </c>
      <c r="J123" s="83">
        <f t="shared" si="21"/>
        <v>2029</v>
      </c>
      <c r="K123" s="83">
        <f t="shared" si="21"/>
        <v>2030</v>
      </c>
    </row>
    <row r="124" spans="2:13" ht="15.75" customHeight="1">
      <c r="C124" s="6" t="str">
        <f t="shared" ref="C124:K124" si="22">C15</f>
        <v>Fiscal year end date</v>
      </c>
      <c r="D124" s="85">
        <f t="shared" si="22"/>
        <v>45291</v>
      </c>
      <c r="E124" s="85">
        <f t="shared" si="22"/>
        <v>45657</v>
      </c>
      <c r="F124" s="85">
        <f t="shared" si="22"/>
        <v>46022</v>
      </c>
      <c r="G124" s="85">
        <f t="shared" si="22"/>
        <v>46387</v>
      </c>
      <c r="H124" s="85">
        <f t="shared" si="22"/>
        <v>46752</v>
      </c>
      <c r="I124" s="85">
        <f t="shared" si="22"/>
        <v>47118</v>
      </c>
      <c r="J124" s="85">
        <f t="shared" si="22"/>
        <v>47483</v>
      </c>
      <c r="K124" s="85">
        <f t="shared" si="22"/>
        <v>47848</v>
      </c>
    </row>
    <row r="125" spans="2:13" ht="15.75" customHeight="1">
      <c r="C125" s="72"/>
      <c r="G125" s="306" t="s">
        <v>169</v>
      </c>
      <c r="H125" s="306"/>
      <c r="I125" s="306"/>
      <c r="J125" s="306"/>
      <c r="K125" s="306"/>
    </row>
    <row r="126" spans="2:13" ht="15.75" customHeight="1">
      <c r="C126" s="95" t="s">
        <v>170</v>
      </c>
      <c r="F126" s="91">
        <f>E60</f>
        <v>568607</v>
      </c>
      <c r="G126" s="91">
        <f>F129</f>
        <v>579971</v>
      </c>
      <c r="H126" s="91">
        <f>G129</f>
        <v>602929.43782247358</v>
      </c>
      <c r="I126" s="91">
        <f>H129</f>
        <v>628853.4015259681</v>
      </c>
      <c r="J126" s="91">
        <f>I129</f>
        <v>657885.51995562238</v>
      </c>
      <c r="K126" s="91">
        <f>J129</f>
        <v>690149.22110763751</v>
      </c>
    </row>
    <row r="127" spans="2:13" ht="15.75" customHeight="1">
      <c r="C127" s="44" t="s">
        <v>171</v>
      </c>
      <c r="D127" s="49"/>
      <c r="E127" s="49"/>
      <c r="F127" s="109">
        <v>82400</v>
      </c>
      <c r="G127" s="54">
        <f>($F$127/$F$19)*G19</f>
        <v>94588.763828591196</v>
      </c>
      <c r="H127" s="54">
        <f>($F$127/$F$19)*H19</f>
        <v>106806.73045839745</v>
      </c>
      <c r="I127" s="54">
        <f>($F$127/$F$19)*I19</f>
        <v>119612.32793017547</v>
      </c>
      <c r="J127" s="54">
        <f>($F$127/$F$19)*J19</f>
        <v>132926.44874630266</v>
      </c>
      <c r="K127" s="54">
        <f>($F$127/$F$19)*K19</f>
        <v>147090.91809382779</v>
      </c>
    </row>
    <row r="128" spans="2:13" ht="15.75" customHeight="1">
      <c r="C128" s="108" t="s">
        <v>173</v>
      </c>
      <c r="D128" s="109"/>
      <c r="E128" s="109"/>
      <c r="F128" s="109">
        <v>-62400</v>
      </c>
      <c r="G128" s="110">
        <f>-G127*G131</f>
        <v>-71630.326006117612</v>
      </c>
      <c r="H128" s="110">
        <f>-H127*H131</f>
        <v>-80882.766754902914</v>
      </c>
      <c r="I128" s="110">
        <f>-I127*I131</f>
        <v>-90580.209500521232</v>
      </c>
      <c r="J128" s="110">
        <f>-J127*J131</f>
        <v>-100662.74759428744</v>
      </c>
      <c r="K128" s="110">
        <f>-K127*K131</f>
        <v>-111389.23894484046</v>
      </c>
    </row>
    <row r="129" spans="2:15" ht="15.75" customHeight="1">
      <c r="C129" s="111" t="s">
        <v>175</v>
      </c>
      <c r="D129" s="102"/>
      <c r="E129" s="102"/>
      <c r="F129" s="102">
        <f>F60</f>
        <v>579971</v>
      </c>
      <c r="G129" s="102">
        <f>SUM(G126:G128)</f>
        <v>602929.43782247358</v>
      </c>
      <c r="H129" s="102">
        <f>SUM(H126:H128)</f>
        <v>628853.4015259681</v>
      </c>
      <c r="I129" s="102">
        <f>SUM(I126:I128)</f>
        <v>657885.51995562238</v>
      </c>
      <c r="J129" s="102">
        <f>SUM(J126:J128)</f>
        <v>690149.22110763751</v>
      </c>
      <c r="K129" s="102">
        <f>SUM(K126:K128)</f>
        <v>725850.90025662479</v>
      </c>
    </row>
    <row r="130" spans="2:15" ht="15.75" customHeight="1">
      <c r="C130" s="95"/>
      <c r="M130" s="26"/>
    </row>
    <row r="131" spans="2:15" ht="16.5" customHeight="1">
      <c r="C131" s="95" t="s">
        <v>176</v>
      </c>
      <c r="D131" s="112"/>
      <c r="E131" s="112"/>
      <c r="F131" s="113">
        <f>-F128/F127</f>
        <v>0.75728155339805825</v>
      </c>
      <c r="G131" s="42">
        <f>F131</f>
        <v>0.75728155339805825</v>
      </c>
      <c r="H131" s="42">
        <f>G131</f>
        <v>0.75728155339805825</v>
      </c>
      <c r="I131" s="42">
        <f>H131</f>
        <v>0.75728155339805825</v>
      </c>
      <c r="J131" s="42">
        <f>I131</f>
        <v>0.75728155339805825</v>
      </c>
      <c r="K131" s="42">
        <f>J131</f>
        <v>0.75728155339805825</v>
      </c>
    </row>
    <row r="132" spans="2:15" ht="15.75" customHeight="1">
      <c r="C132" s="95"/>
      <c r="D132" s="112"/>
      <c r="E132" s="112"/>
      <c r="F132" s="112"/>
      <c r="G132" s="42"/>
      <c r="H132" s="42"/>
      <c r="I132" s="42"/>
      <c r="J132" s="42"/>
      <c r="K132" s="42"/>
      <c r="O132" s="114"/>
    </row>
    <row r="133" spans="2:15" ht="15.75" customHeight="1">
      <c r="B133" t="s">
        <v>0</v>
      </c>
      <c r="C133" s="115" t="s">
        <v>177</v>
      </c>
      <c r="D133" s="116"/>
      <c r="E133" s="116"/>
      <c r="F133" s="116"/>
      <c r="G133" s="117"/>
      <c r="H133" s="117"/>
      <c r="I133" s="117"/>
      <c r="J133" s="117"/>
      <c r="K133" s="117"/>
      <c r="O133" s="114"/>
    </row>
    <row r="134" spans="2:15" ht="15.75" customHeight="1">
      <c r="C134" s="95" t="s">
        <v>178</v>
      </c>
      <c r="D134" s="91"/>
      <c r="E134" s="91"/>
      <c r="F134" s="91">
        <f>F35+F128</f>
        <v>131264</v>
      </c>
      <c r="G134" s="101">
        <v>121423</v>
      </c>
      <c r="H134" s="101">
        <v>113148</v>
      </c>
      <c r="I134" s="101">
        <v>113589</v>
      </c>
      <c r="J134" s="101">
        <v>113412</v>
      </c>
      <c r="K134" s="101">
        <v>116376</v>
      </c>
      <c r="O134" s="114"/>
    </row>
    <row r="135" spans="2:15" ht="15.75" customHeight="1">
      <c r="C135" s="44" t="s">
        <v>180</v>
      </c>
      <c r="D135" s="118"/>
      <c r="E135" s="118"/>
      <c r="F135" s="118"/>
      <c r="G135" s="42">
        <f>G134/G19</f>
        <v>1.7447612588722839E-2</v>
      </c>
      <c r="H135" s="42">
        <f>H134/H19</f>
        <v>1.4398686018885496E-2</v>
      </c>
      <c r="I135" s="42">
        <f>I134/I19</f>
        <v>1.2907286015683321E-2</v>
      </c>
      <c r="J135" s="42">
        <f>J134/J19</f>
        <v>1.1596373834481455E-2</v>
      </c>
      <c r="K135" s="42">
        <f>K134/K19</f>
        <v>1.075355764685107E-2</v>
      </c>
      <c r="O135" s="114"/>
    </row>
    <row r="136" spans="2:15" ht="15.75" customHeight="1">
      <c r="C136" s="97" t="s">
        <v>181</v>
      </c>
      <c r="D136" s="102"/>
      <c r="E136" s="102"/>
      <c r="F136" s="102"/>
      <c r="G136" s="98">
        <f>G134-G128</f>
        <v>193053.32600611763</v>
      </c>
      <c r="H136" s="98">
        <f>H134-H128</f>
        <v>194030.7667549029</v>
      </c>
      <c r="I136" s="98">
        <f>I134-I128</f>
        <v>204169.20950052125</v>
      </c>
      <c r="J136" s="98">
        <f>J134-J128</f>
        <v>214074.74759428744</v>
      </c>
      <c r="K136" s="98">
        <f>K134-K128</f>
        <v>227765.23894484044</v>
      </c>
      <c r="O136" s="114"/>
    </row>
    <row r="137" spans="2:15" ht="15.75" customHeight="1">
      <c r="H137" s="91"/>
      <c r="I137" s="91"/>
      <c r="J137" s="91"/>
      <c r="K137" s="91"/>
    </row>
    <row r="138" spans="2:15" ht="15.75" customHeight="1">
      <c r="B138" t="s">
        <v>0</v>
      </c>
      <c r="C138" s="119" t="s">
        <v>182</v>
      </c>
      <c r="D138" s="120"/>
      <c r="E138" s="120"/>
      <c r="F138" s="120"/>
      <c r="G138" s="121">
        <f>G14</f>
        <v>2026</v>
      </c>
      <c r="H138" s="121">
        <f>H14</f>
        <v>2027</v>
      </c>
      <c r="I138" s="121">
        <f>I14</f>
        <v>2028</v>
      </c>
      <c r="J138" s="121">
        <f>J14</f>
        <v>2029</v>
      </c>
      <c r="K138" s="121">
        <f>K14</f>
        <v>2030</v>
      </c>
    </row>
    <row r="139" spans="2:15" ht="15.75" customHeight="1">
      <c r="C139" s="95" t="s">
        <v>170</v>
      </c>
      <c r="F139" s="91">
        <f>E90</f>
        <v>-1563321</v>
      </c>
      <c r="G139" s="91">
        <f>F143</f>
        <v>-1285905</v>
      </c>
      <c r="H139" s="91">
        <f ca="1">G143</f>
        <v>-879073.80926999997</v>
      </c>
      <c r="I139" s="91">
        <f ca="1">H143</f>
        <v>-365319.83128499996</v>
      </c>
      <c r="J139" s="91">
        <f ca="1">I143</f>
        <v>274508.23734709492</v>
      </c>
      <c r="K139" s="91">
        <f ca="1">J143</f>
        <v>1039877.6185275918</v>
      </c>
    </row>
    <row r="140" spans="2:15" ht="15.75" customHeight="1">
      <c r="C140" s="44" t="s">
        <v>183</v>
      </c>
      <c r="D140" s="101"/>
      <c r="E140" s="101"/>
      <c r="F140" s="91">
        <f t="shared" ref="F140:K140" si="23">F33</f>
        <v>277416</v>
      </c>
      <c r="G140" s="91">
        <f t="shared" ca="1" si="23"/>
        <v>406831.19073000003</v>
      </c>
      <c r="H140" s="91">
        <f t="shared" ca="1" si="23"/>
        <v>513753.977985</v>
      </c>
      <c r="I140" s="91">
        <f t="shared" ca="1" si="23"/>
        <v>639828.06863209489</v>
      </c>
      <c r="J140" s="91">
        <f t="shared" ca="1" si="23"/>
        <v>765369.38118049689</v>
      </c>
      <c r="K140" s="91">
        <f t="shared" ca="1" si="23"/>
        <v>893949.1139022503</v>
      </c>
    </row>
    <row r="141" spans="2:15" ht="15.75" customHeight="1">
      <c r="C141" s="44" t="s">
        <v>184</v>
      </c>
      <c r="D141" s="49"/>
      <c r="E141" s="49"/>
      <c r="F141" s="91">
        <f t="shared" ref="F141:K141" si="24">-F117</f>
        <v>0</v>
      </c>
      <c r="G141" s="91">
        <f t="shared" si="24"/>
        <v>0</v>
      </c>
      <c r="H141" s="91">
        <f t="shared" si="24"/>
        <v>0</v>
      </c>
      <c r="I141" s="91">
        <f t="shared" si="24"/>
        <v>0</v>
      </c>
      <c r="J141" s="91">
        <f t="shared" si="24"/>
        <v>0</v>
      </c>
      <c r="K141" s="91">
        <f t="shared" si="24"/>
        <v>0</v>
      </c>
    </row>
    <row r="142" spans="2:15" ht="15.75" customHeight="1">
      <c r="C142" s="108" t="s">
        <v>185</v>
      </c>
      <c r="D142" s="109"/>
      <c r="E142" s="109"/>
      <c r="F142" s="110">
        <v>0</v>
      </c>
      <c r="G142" s="110">
        <v>0</v>
      </c>
      <c r="H142" s="110">
        <v>0</v>
      </c>
      <c r="I142" s="110">
        <v>0</v>
      </c>
      <c r="J142" s="110">
        <v>0</v>
      </c>
      <c r="K142" s="110">
        <v>0</v>
      </c>
    </row>
    <row r="143" spans="2:15" ht="15.75" customHeight="1">
      <c r="C143" s="111" t="s">
        <v>175</v>
      </c>
      <c r="D143" s="98"/>
      <c r="E143" s="98"/>
      <c r="F143" s="98">
        <f t="shared" ref="F143:K143" si="25">SUM(F139:F142)</f>
        <v>-1285905</v>
      </c>
      <c r="G143" s="98">
        <f t="shared" ca="1" si="25"/>
        <v>-879073.80926999997</v>
      </c>
      <c r="H143" s="98">
        <f t="shared" ca="1" si="25"/>
        <v>-365319.83128499996</v>
      </c>
      <c r="I143" s="98">
        <f t="shared" ca="1" si="25"/>
        <v>274508.23734709492</v>
      </c>
      <c r="J143" s="98">
        <f t="shared" ca="1" si="25"/>
        <v>1039877.6185275918</v>
      </c>
      <c r="K143" s="98">
        <f t="shared" ca="1" si="25"/>
        <v>1933826.732429842</v>
      </c>
    </row>
    <row r="144" spans="2:15" ht="15.75" customHeight="1">
      <c r="E144" s="104"/>
      <c r="F144" s="104"/>
    </row>
    <row r="145" spans="2:11" ht="15.75" customHeight="1">
      <c r="B145" t="s">
        <v>0</v>
      </c>
      <c r="C145" s="57" t="s">
        <v>186</v>
      </c>
      <c r="D145" s="6"/>
      <c r="E145" s="6"/>
      <c r="F145" s="6"/>
      <c r="G145" s="6"/>
      <c r="H145" s="6"/>
      <c r="I145" s="6"/>
      <c r="J145" s="6"/>
      <c r="K145" s="6"/>
    </row>
    <row r="146" spans="2:11" ht="15.75" customHeight="1">
      <c r="C146" s="79" t="str">
        <f t="shared" ref="C146:K146" si="26">C14</f>
        <v xml:space="preserve">Fiscal year  </v>
      </c>
      <c r="D146" s="81">
        <f t="shared" si="26"/>
        <v>2023</v>
      </c>
      <c r="E146" s="81">
        <f t="shared" si="26"/>
        <v>2024</v>
      </c>
      <c r="F146" s="81">
        <f t="shared" si="26"/>
        <v>2025</v>
      </c>
      <c r="G146" s="83">
        <f t="shared" si="26"/>
        <v>2026</v>
      </c>
      <c r="H146" s="83">
        <f t="shared" si="26"/>
        <v>2027</v>
      </c>
      <c r="I146" s="83">
        <f t="shared" si="26"/>
        <v>2028</v>
      </c>
      <c r="J146" s="83">
        <f t="shared" si="26"/>
        <v>2029</v>
      </c>
      <c r="K146" s="83">
        <f t="shared" si="26"/>
        <v>2030</v>
      </c>
    </row>
    <row r="147" spans="2:11" ht="15.75" customHeight="1">
      <c r="C147" s="6" t="str">
        <f t="shared" ref="C147:K147" si="27">C15</f>
        <v>Fiscal year end date</v>
      </c>
      <c r="D147" s="85">
        <f t="shared" si="27"/>
        <v>45291</v>
      </c>
      <c r="E147" s="85">
        <f t="shared" si="27"/>
        <v>45657</v>
      </c>
      <c r="F147" s="85">
        <f t="shared" si="27"/>
        <v>46022</v>
      </c>
      <c r="G147" s="85">
        <f t="shared" si="27"/>
        <v>46387</v>
      </c>
      <c r="H147" s="85">
        <f t="shared" si="27"/>
        <v>46752</v>
      </c>
      <c r="I147" s="85">
        <f t="shared" si="27"/>
        <v>47118</v>
      </c>
      <c r="J147" s="85">
        <f t="shared" si="27"/>
        <v>47483</v>
      </c>
      <c r="K147" s="85">
        <f t="shared" si="27"/>
        <v>47848</v>
      </c>
    </row>
    <row r="148" spans="2:11" ht="15.75" customHeight="1">
      <c r="C148" s="72"/>
    </row>
    <row r="149" spans="2:11" ht="15.75" customHeight="1">
      <c r="C149" s="26" t="s">
        <v>187</v>
      </c>
    </row>
    <row r="150" spans="2:11" ht="15.75" customHeight="1">
      <c r="C150" s="44" t="s">
        <v>188</v>
      </c>
      <c r="G150" s="91">
        <f>F53</f>
        <v>289717</v>
      </c>
      <c r="H150" s="91">
        <f ca="1">G53</f>
        <v>510509.29624840332</v>
      </c>
      <c r="I150" s="91">
        <f ca="1">H53</f>
        <v>601495.8971248595</v>
      </c>
      <c r="J150" s="91">
        <f ca="1">I53</f>
        <v>807010.34523822111</v>
      </c>
      <c r="K150" s="91">
        <f ca="1">J53</f>
        <v>1051121.0334052108</v>
      </c>
    </row>
    <row r="151" spans="2:11" ht="15.75" customHeight="1">
      <c r="C151" s="44" t="s">
        <v>189</v>
      </c>
      <c r="G151" s="49">
        <v>-50000</v>
      </c>
      <c r="H151" s="49">
        <v>-50000</v>
      </c>
      <c r="I151" s="49">
        <v>-50000</v>
      </c>
      <c r="J151" s="49">
        <v>-50000</v>
      </c>
      <c r="K151" s="49">
        <v>-50000</v>
      </c>
    </row>
    <row r="152" spans="2:11" ht="15.75" customHeight="1">
      <c r="C152" s="108" t="s">
        <v>190</v>
      </c>
      <c r="D152" s="122"/>
      <c r="E152" s="122"/>
      <c r="F152" s="122"/>
      <c r="G152" s="110">
        <f ca="1">G109+G112+G114+G116+G117+G119</f>
        <v>220792.29624840332</v>
      </c>
      <c r="H152" s="110">
        <f ca="1">H109+H112+H114+H116+H117+H119</f>
        <v>90986.600876456243</v>
      </c>
      <c r="I152" s="110">
        <f ca="1">I109+I112+I114+I116+I117+I119</f>
        <v>205514.44811336161</v>
      </c>
      <c r="J152" s="110">
        <f ca="1">J109+J112+J114+J116+J117+J119</f>
        <v>244110.68816698983</v>
      </c>
      <c r="K152" s="110">
        <f ca="1">K109+K112+K114+K116+K117+K119</f>
        <v>358287.49204203323</v>
      </c>
    </row>
    <row r="153" spans="2:11" ht="15.75" customHeight="1">
      <c r="C153" s="111" t="s">
        <v>191</v>
      </c>
      <c r="G153" s="98">
        <f ca="1">SUM(G150:G152)</f>
        <v>460509.29624840332</v>
      </c>
      <c r="H153" s="98">
        <f ca="1">SUM(H150:H152)</f>
        <v>551495.8971248595</v>
      </c>
      <c r="I153" s="98">
        <f ca="1">SUM(I150:I152)</f>
        <v>757010.34523822111</v>
      </c>
      <c r="J153" s="98">
        <f ca="1">SUM(J150:J152)</f>
        <v>1001121.0334052109</v>
      </c>
      <c r="K153" s="98">
        <f ca="1">SUM(K150:K152)</f>
        <v>1359408.5254472441</v>
      </c>
    </row>
    <row r="154" spans="2:11" ht="15.75" customHeight="1">
      <c r="C154" s="44"/>
      <c r="G154" s="123"/>
      <c r="H154" s="123"/>
      <c r="I154" s="123"/>
      <c r="J154" s="123"/>
      <c r="K154" s="123"/>
    </row>
    <row r="155" spans="2:11" ht="15.75" customHeight="1">
      <c r="C155" s="72" t="s">
        <v>192</v>
      </c>
    </row>
    <row r="156" spans="2:11" ht="15.75" customHeight="1">
      <c r="C156" s="44" t="s">
        <v>170</v>
      </c>
      <c r="G156" s="54">
        <f>F85</f>
        <v>0</v>
      </c>
      <c r="H156" s="91">
        <f ca="1">G159</f>
        <v>0</v>
      </c>
      <c r="I156" s="91">
        <f ca="1">H159</f>
        <v>0</v>
      </c>
      <c r="J156" s="91">
        <f ca="1">I159</f>
        <v>0</v>
      </c>
      <c r="K156" s="91">
        <f ca="1">J159</f>
        <v>0</v>
      </c>
    </row>
    <row r="157" spans="2:11" ht="15.75" customHeight="1">
      <c r="C157" s="44" t="s">
        <v>193</v>
      </c>
      <c r="G157" s="91">
        <f ca="1">IF(G153&lt;0,-G153,IF(G156&gt;0,-MIN(G156,G153),0))</f>
        <v>0</v>
      </c>
      <c r="H157" s="91">
        <f ca="1">IF(H153&lt;0,-H153,IF(H156&gt;0,-MIN(H156,H153),0))</f>
        <v>0</v>
      </c>
      <c r="I157" s="91">
        <f ca="1">IF(I153&lt;0,-I153,IF(I156&gt;0,-MIN(I156,I153),0))</f>
        <v>0</v>
      </c>
      <c r="J157" s="91">
        <f ca="1">IF(J153&lt;0,-J153,IF(J156&gt;0,-MIN(J156,J153),0))</f>
        <v>0</v>
      </c>
      <c r="K157" s="91">
        <f ca="1">IF(K153&lt;0,-K153,IF(K156&gt;0,-MIN(K156,K153),0))</f>
        <v>0</v>
      </c>
    </row>
    <row r="158" spans="2:11" ht="15.75" customHeight="1">
      <c r="C158" s="108" t="s">
        <v>194</v>
      </c>
      <c r="D158" s="122"/>
      <c r="E158" s="122"/>
      <c r="F158" s="122"/>
      <c r="G158" s="109">
        <v>0</v>
      </c>
      <c r="H158" s="109">
        <v>0</v>
      </c>
      <c r="I158" s="109">
        <v>0</v>
      </c>
      <c r="J158" s="109">
        <v>0</v>
      </c>
      <c r="K158" s="109">
        <v>0</v>
      </c>
    </row>
    <row r="159" spans="2:11" ht="15.75" customHeight="1">
      <c r="C159" s="124" t="s">
        <v>175</v>
      </c>
      <c r="D159" s="125"/>
      <c r="E159" s="125"/>
      <c r="F159" s="125"/>
      <c r="G159" s="126">
        <f ca="1">G156+G157+G158</f>
        <v>0</v>
      </c>
      <c r="H159" s="126">
        <f ca="1">H156+H157+H158</f>
        <v>0</v>
      </c>
      <c r="I159" s="126">
        <f ca="1">I156+I157+I158</f>
        <v>0</v>
      </c>
      <c r="J159" s="126">
        <f ca="1">J156+J157+J158</f>
        <v>0</v>
      </c>
      <c r="K159" s="126">
        <f ca="1">K156+K157+K158</f>
        <v>0</v>
      </c>
    </row>
    <row r="160" spans="2:11" ht="15.75" customHeight="1">
      <c r="C160" s="127" t="s">
        <v>195</v>
      </c>
      <c r="D160" s="129"/>
      <c r="E160" s="129"/>
      <c r="F160" s="130">
        <f t="shared" ref="F160:K160" si="28">F79+F77</f>
        <v>2214605</v>
      </c>
      <c r="G160" s="131">
        <f t="shared" ca="1" si="28"/>
        <v>2191161</v>
      </c>
      <c r="H160" s="131">
        <f t="shared" ca="1" si="28"/>
        <v>2067717</v>
      </c>
      <c r="I160" s="131">
        <f t="shared" ca="1" si="28"/>
        <v>1944273</v>
      </c>
      <c r="J160" s="131">
        <f t="shared" ca="1" si="28"/>
        <v>1770829</v>
      </c>
      <c r="K160" s="132">
        <f t="shared" ca="1" si="28"/>
        <v>1597385</v>
      </c>
    </row>
    <row r="161" spans="2:11" ht="15.75" customHeight="1">
      <c r="D161" s="91"/>
      <c r="E161" s="91"/>
      <c r="F161" s="133"/>
      <c r="G161" s="134"/>
      <c r="H161" s="134"/>
      <c r="I161" s="134"/>
      <c r="J161" s="134"/>
      <c r="K161" s="134"/>
    </row>
    <row r="162" spans="2:11" ht="15.75" customHeight="1">
      <c r="B162" t="s">
        <v>0</v>
      </c>
      <c r="C162" s="57" t="s">
        <v>196</v>
      </c>
      <c r="D162" s="116"/>
      <c r="E162" s="116"/>
      <c r="F162" s="116"/>
      <c r="G162" s="135"/>
      <c r="H162" s="135"/>
      <c r="I162" s="135"/>
      <c r="J162" s="135"/>
      <c r="K162" s="135"/>
    </row>
    <row r="163" spans="2:11" ht="15.75" customHeight="1">
      <c r="C163" s="79" t="str">
        <f t="shared" ref="C163:K163" si="29">C14</f>
        <v xml:space="preserve">Fiscal year  </v>
      </c>
      <c r="D163" s="81">
        <f t="shared" si="29"/>
        <v>2023</v>
      </c>
      <c r="E163" s="81">
        <f t="shared" si="29"/>
        <v>2024</v>
      </c>
      <c r="F163" s="81">
        <f t="shared" si="29"/>
        <v>2025</v>
      </c>
      <c r="G163" s="83">
        <f t="shared" si="29"/>
        <v>2026</v>
      </c>
      <c r="H163" s="83">
        <f t="shared" si="29"/>
        <v>2027</v>
      </c>
      <c r="I163" s="83">
        <f t="shared" si="29"/>
        <v>2028</v>
      </c>
      <c r="J163" s="83">
        <f t="shared" si="29"/>
        <v>2029</v>
      </c>
      <c r="K163" s="83">
        <f t="shared" si="29"/>
        <v>2030</v>
      </c>
    </row>
    <row r="164" spans="2:11" ht="15.75" customHeight="1">
      <c r="C164" s="6" t="str">
        <f t="shared" ref="C164:K164" si="30">C15</f>
        <v>Fiscal year end date</v>
      </c>
      <c r="D164" s="85">
        <f t="shared" si="30"/>
        <v>45291</v>
      </c>
      <c r="E164" s="85">
        <f t="shared" si="30"/>
        <v>45657</v>
      </c>
      <c r="F164" s="85">
        <f t="shared" si="30"/>
        <v>46022</v>
      </c>
      <c r="G164" s="85">
        <f t="shared" si="30"/>
        <v>46387</v>
      </c>
      <c r="H164" s="85">
        <f t="shared" si="30"/>
        <v>46752</v>
      </c>
      <c r="I164" s="85">
        <f t="shared" si="30"/>
        <v>47118</v>
      </c>
      <c r="J164" s="85">
        <f t="shared" si="30"/>
        <v>47483</v>
      </c>
      <c r="K164" s="85">
        <f t="shared" si="30"/>
        <v>47848</v>
      </c>
    </row>
    <row r="165" spans="2:11" ht="15.75" customHeight="1">
      <c r="C165" s="44"/>
      <c r="D165" s="91"/>
      <c r="E165" s="91"/>
      <c r="F165" s="91"/>
      <c r="G165" s="136"/>
      <c r="H165" s="136"/>
      <c r="I165" s="136"/>
      <c r="J165" s="136"/>
      <c r="K165" s="136"/>
    </row>
    <row r="166" spans="2:11" ht="15.75" customHeight="1">
      <c r="C166" s="95" t="s">
        <v>197</v>
      </c>
      <c r="D166" s="91"/>
      <c r="E166" s="91"/>
      <c r="F166" s="98">
        <f>F27</f>
        <v>-174217</v>
      </c>
      <c r="G166" s="98">
        <f ca="1">G171+G176</f>
        <v>-138781.62900000002</v>
      </c>
      <c r="H166" s="98">
        <f ca="1">H171+H176</f>
        <v>-134154.65700000001</v>
      </c>
      <c r="I166" s="98">
        <f ca="1">I171+I176</f>
        <v>-126377.685</v>
      </c>
      <c r="J166" s="98">
        <f ca="1">J171+J176</f>
        <v>-117025.713</v>
      </c>
      <c r="K166" s="98">
        <f ca="1">K171+K176</f>
        <v>-106098.74099999999</v>
      </c>
    </row>
    <row r="167" spans="2:11" ht="15.75" customHeight="1">
      <c r="C167" s="137"/>
    </row>
    <row r="168" spans="2:11" ht="15.75" customHeight="1">
      <c r="C168" s="138" t="s">
        <v>198</v>
      </c>
    </row>
    <row r="169" spans="2:11" ht="15.75" customHeight="1">
      <c r="C169" s="44" t="s">
        <v>199</v>
      </c>
      <c r="G169" s="43">
        <v>6.0499999999999998E-2</v>
      </c>
      <c r="H169" s="43">
        <v>6.0499999999999998E-2</v>
      </c>
      <c r="I169" s="43">
        <v>6.0499999999999998E-2</v>
      </c>
      <c r="J169" s="43">
        <v>6.0499999999999998E-2</v>
      </c>
      <c r="K169" s="43">
        <v>6.0499999999999998E-2</v>
      </c>
    </row>
    <row r="170" spans="2:11" ht="15.75" customHeight="1">
      <c r="C170" s="44" t="s">
        <v>200</v>
      </c>
      <c r="D170" s="91"/>
      <c r="E170" s="91"/>
      <c r="F170" s="91">
        <v>0</v>
      </c>
      <c r="G170" s="91">
        <f ca="1">G159</f>
        <v>0</v>
      </c>
      <c r="H170" s="91">
        <f ca="1">H159</f>
        <v>0</v>
      </c>
      <c r="I170" s="91">
        <f ca="1">I159</f>
        <v>0</v>
      </c>
      <c r="J170" s="91">
        <f ca="1">J159</f>
        <v>0</v>
      </c>
      <c r="K170" s="91">
        <f ca="1">K159</f>
        <v>0</v>
      </c>
    </row>
    <row r="171" spans="2:11" ht="15.75" customHeight="1">
      <c r="C171" s="139" t="s">
        <v>201</v>
      </c>
      <c r="D171" s="140"/>
      <c r="E171" s="140"/>
      <c r="F171" s="141">
        <v>0</v>
      </c>
      <c r="G171" s="141">
        <f ca="1">-G169*(F170+G170)/2</f>
        <v>0</v>
      </c>
      <c r="H171" s="141">
        <f ca="1">-H169*(G170+H170)/2</f>
        <v>0</v>
      </c>
      <c r="I171" s="141">
        <f ca="1">-I169*(H170+I170)/2</f>
        <v>0</v>
      </c>
      <c r="J171" s="141">
        <f ca="1">-J169*(I170+J170)/2</f>
        <v>0</v>
      </c>
      <c r="K171" s="141">
        <f ca="1">-K169*(J170+K170)/2</f>
        <v>0</v>
      </c>
    </row>
    <row r="172" spans="2:11" ht="15.75" customHeight="1">
      <c r="C172" s="89"/>
      <c r="D172" s="91"/>
      <c r="E172" s="91"/>
      <c r="F172" s="91"/>
    </row>
    <row r="173" spans="2:11" ht="15.75" customHeight="1">
      <c r="C173" s="138" t="s">
        <v>131</v>
      </c>
      <c r="D173" s="91"/>
      <c r="E173" s="91"/>
      <c r="F173" s="91"/>
    </row>
    <row r="174" spans="2:11" ht="15.75" customHeight="1">
      <c r="C174" s="44" t="s">
        <v>200</v>
      </c>
      <c r="D174" s="91"/>
      <c r="E174" s="91">
        <f t="shared" ref="E174:K174" si="31">E79+E77</f>
        <v>2231426</v>
      </c>
      <c r="F174" s="91">
        <f t="shared" si="31"/>
        <v>2214605</v>
      </c>
      <c r="G174" s="91">
        <f t="shared" ca="1" si="31"/>
        <v>2191161</v>
      </c>
      <c r="H174" s="91">
        <f t="shared" ca="1" si="31"/>
        <v>2067717</v>
      </c>
      <c r="I174" s="91">
        <f t="shared" ca="1" si="31"/>
        <v>1944273</v>
      </c>
      <c r="J174" s="91">
        <f t="shared" ca="1" si="31"/>
        <v>1770829</v>
      </c>
      <c r="K174" s="91">
        <f t="shared" ca="1" si="31"/>
        <v>1597385</v>
      </c>
    </row>
    <row r="175" spans="2:11" ht="15.75" customHeight="1">
      <c r="C175" s="44" t="s">
        <v>199</v>
      </c>
      <c r="E175" s="118"/>
      <c r="F175" s="112">
        <f>-F27/((E174+F174)/2)</f>
        <v>7.8369673985628982E-2</v>
      </c>
      <c r="G175" s="43">
        <v>6.3E-2</v>
      </c>
      <c r="H175" s="43">
        <v>6.3E-2</v>
      </c>
      <c r="I175" s="43">
        <v>6.3E-2</v>
      </c>
      <c r="J175" s="43">
        <v>6.3E-2</v>
      </c>
      <c r="K175" s="43">
        <v>6.3E-2</v>
      </c>
    </row>
    <row r="176" spans="2:11" ht="15.75" customHeight="1">
      <c r="C176" s="111" t="s">
        <v>74</v>
      </c>
      <c r="D176" s="102"/>
      <c r="E176" s="102"/>
      <c r="F176" s="91">
        <f>F27</f>
        <v>-174217</v>
      </c>
      <c r="G176" s="91">
        <f ca="1">-G175*(F174+G174)/2</f>
        <v>-138781.62900000002</v>
      </c>
      <c r="H176" s="91">
        <f ca="1">-H175*(G174+H174)/2</f>
        <v>-134154.65700000001</v>
      </c>
      <c r="I176" s="91">
        <f ca="1">-I175*(H174+I174)/2</f>
        <v>-126377.685</v>
      </c>
      <c r="J176" s="91">
        <f ca="1">-J175*(I174+J174)/2</f>
        <v>-117025.713</v>
      </c>
      <c r="K176" s="91">
        <f ca="1">-K175*(J174+K174)/2</f>
        <v>-106098.74099999999</v>
      </c>
    </row>
    <row r="177" spans="3:11" ht="15.75" customHeight="1">
      <c r="C177" s="111"/>
      <c r="D177" s="102"/>
      <c r="E177" s="102"/>
      <c r="F177" s="102"/>
      <c r="G177" s="102"/>
      <c r="H177" s="102"/>
      <c r="I177" s="102"/>
      <c r="J177" s="102"/>
      <c r="K177" s="102"/>
    </row>
    <row r="178" spans="3:11" ht="15.75" customHeight="1">
      <c r="C178" s="137" t="s">
        <v>202</v>
      </c>
      <c r="E178" s="91"/>
      <c r="F178" s="91"/>
    </row>
    <row r="179" spans="3:11" ht="15.75" customHeight="1">
      <c r="C179" s="44" t="s">
        <v>203</v>
      </c>
      <c r="F179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</row>
    <row r="180" spans="3:11" ht="15.75" customHeight="1">
      <c r="C180" s="44" t="s">
        <v>73</v>
      </c>
      <c r="D180" s="91"/>
      <c r="E180" s="91"/>
      <c r="F180" s="91">
        <f>F26</f>
        <v>0</v>
      </c>
      <c r="G180" s="91">
        <f ca="1">G179*(F53+G53)/2</f>
        <v>0</v>
      </c>
      <c r="H180" s="91">
        <f ca="1">H179*(G53+H53)/2</f>
        <v>0</v>
      </c>
      <c r="I180" s="91">
        <f ca="1">I179*(H53+I53)/2</f>
        <v>0</v>
      </c>
      <c r="J180" s="91">
        <f ca="1">J179*(I53+J53)/2</f>
        <v>0</v>
      </c>
      <c r="K180" s="91">
        <f ca="1">K179*(J53+K53)/2</f>
        <v>0</v>
      </c>
    </row>
  </sheetData>
  <mergeCells count="1">
    <mergeCell ref="G125:K125"/>
  </mergeCells>
  <conditionalFormatting sqref="C45">
    <cfRule type="expression" dxfId="6" priority="2">
      <formula>#REF!=$C45</formula>
    </cfRule>
  </conditionalFormatting>
  <dataValidations count="2">
    <dataValidation type="list" allowBlank="1" showInputMessage="1" showErrorMessage="1" sqref="C3" xr:uid="{00000000-0002-0000-0500-000000000000}">
      <formula1>"$ bns except per share,$ mm except per share,$ in thousands except per share"</formula1>
      <formula2>0</formula2>
    </dataValidation>
    <dataValidation type="list" allowBlank="1" showInputMessage="1" showErrorMessage="1" sqref="D7" xr:uid="{00000000-0002-0000-0500-000001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180"/>
  <sheetViews>
    <sheetView showGridLines="0" topLeftCell="A23" zoomScale="116" zoomScaleNormal="116" workbookViewId="0">
      <selection activeCell="N36" sqref="N36"/>
    </sheetView>
  </sheetViews>
  <sheetFormatPr baseColWidth="10" defaultColWidth="11" defaultRowHeight="16"/>
  <cols>
    <col min="1" max="1" width="2.5" customWidth="1"/>
    <col min="2" max="2" width="2.1640625" customWidth="1"/>
    <col min="3" max="3" width="26.1640625" customWidth="1"/>
    <col min="4" max="4" width="12.6640625" customWidth="1"/>
    <col min="7" max="7" width="12.5" customWidth="1"/>
    <col min="12" max="12" width="2.1640625" customWidth="1"/>
  </cols>
  <sheetData>
    <row r="1" spans="2:15" ht="16.5" customHeight="1"/>
    <row r="2" spans="2:15" ht="16.5" customHeight="1">
      <c r="B2" t="s">
        <v>0</v>
      </c>
      <c r="C2" s="2" t="str">
        <f>"Financial Statement Model for "&amp;D5</f>
        <v>Financial Statement Model for StandardAero</v>
      </c>
      <c r="D2" s="3"/>
      <c r="E2" s="3"/>
      <c r="F2" s="3"/>
      <c r="G2" s="3"/>
      <c r="H2" s="3"/>
      <c r="I2" s="3"/>
      <c r="J2" s="3"/>
      <c r="K2" s="3"/>
    </row>
    <row r="3" spans="2:15" ht="15.75" customHeight="1">
      <c r="C3" s="4" t="s">
        <v>1</v>
      </c>
      <c r="D3" s="5"/>
      <c r="E3" s="5"/>
      <c r="F3" s="5"/>
      <c r="G3" s="5"/>
      <c r="H3" s="5"/>
    </row>
    <row r="5" spans="2:15" ht="15.75" customHeight="1">
      <c r="C5" s="282" t="s">
        <v>3</v>
      </c>
      <c r="D5" s="283" t="s">
        <v>4</v>
      </c>
    </row>
    <row r="6" spans="2:15" ht="15.75" customHeight="1">
      <c r="C6" s="282" t="s">
        <v>5</v>
      </c>
      <c r="D6" s="283" t="s">
        <v>6</v>
      </c>
    </row>
    <row r="7" spans="2:15" ht="15.75" customHeight="1">
      <c r="C7" t="s">
        <v>377</v>
      </c>
      <c r="D7" s="292">
        <v>1</v>
      </c>
    </row>
    <row r="8" spans="2:15" ht="15.75" customHeight="1">
      <c r="C8" t="s">
        <v>7</v>
      </c>
      <c r="D8" s="284">
        <v>25.59</v>
      </c>
    </row>
    <row r="9" spans="2:15" ht="15.75" customHeight="1">
      <c r="C9" t="s">
        <v>8</v>
      </c>
      <c r="D9" s="285">
        <v>46119</v>
      </c>
    </row>
    <row r="10" spans="2:15" ht="15.75" customHeight="1">
      <c r="C10" s="282" t="s">
        <v>9</v>
      </c>
      <c r="D10" s="286">
        <v>46022</v>
      </c>
    </row>
    <row r="11" spans="2:15" ht="15.75" customHeight="1">
      <c r="C11" t="s">
        <v>10</v>
      </c>
      <c r="D11" s="287">
        <v>334294</v>
      </c>
      <c r="M11" t="s">
        <v>11</v>
      </c>
    </row>
    <row r="13" spans="2:15" ht="15.75" customHeight="1">
      <c r="B13" t="s">
        <v>0</v>
      </c>
      <c r="C13" s="57" t="s">
        <v>61</v>
      </c>
      <c r="D13" s="6"/>
      <c r="E13" s="6"/>
      <c r="F13" s="6"/>
      <c r="G13" s="6"/>
      <c r="H13" s="6"/>
      <c r="I13" s="6"/>
      <c r="J13" s="6"/>
      <c r="K13" s="6"/>
    </row>
    <row r="14" spans="2:15" ht="15.75" customHeight="1">
      <c r="C14" t="s">
        <v>22</v>
      </c>
      <c r="D14" s="58">
        <f>E14-1</f>
        <v>2023</v>
      </c>
      <c r="E14" s="58">
        <f>F14-1</f>
        <v>2024</v>
      </c>
      <c r="F14" s="58">
        <f>YEAR(D10)</f>
        <v>2025</v>
      </c>
      <c r="G14" s="59">
        <f>F14+1</f>
        <v>2026</v>
      </c>
      <c r="H14" s="59">
        <f>G14+1</f>
        <v>2027</v>
      </c>
      <c r="I14" s="59">
        <f>H14+1</f>
        <v>2028</v>
      </c>
      <c r="J14" s="59">
        <f>I14+1</f>
        <v>2029</v>
      </c>
      <c r="K14" s="59">
        <f>J14+1</f>
        <v>2030</v>
      </c>
    </row>
    <row r="15" spans="2:15" ht="15.75" customHeight="1">
      <c r="C15" s="30" t="s">
        <v>23</v>
      </c>
      <c r="D15" s="31">
        <f>EOMONTH(E15,-12)</f>
        <v>45291</v>
      </c>
      <c r="E15" s="31">
        <f>EOMONTH(F15,-12)</f>
        <v>45657</v>
      </c>
      <c r="F15" s="31">
        <f>D10</f>
        <v>46022</v>
      </c>
      <c r="G15" s="31">
        <f>EOMONTH(F15,12)</f>
        <v>46387</v>
      </c>
      <c r="H15" s="31">
        <f>EOMONTH(G15,12)</f>
        <v>46752</v>
      </c>
      <c r="I15" s="31">
        <f>EOMONTH(H15,12)</f>
        <v>47118</v>
      </c>
      <c r="J15" s="31">
        <f>EOMONTH(I15,12)</f>
        <v>47483</v>
      </c>
      <c r="K15" s="31">
        <f>EOMONTH(J15,12)</f>
        <v>47848</v>
      </c>
      <c r="M15" s="57" t="s">
        <v>2</v>
      </c>
      <c r="N15" s="6"/>
      <c r="O15" s="6"/>
    </row>
    <row r="16" spans="2:15" ht="15.75" customHeight="1">
      <c r="C16" s="60"/>
      <c r="D16" s="61"/>
      <c r="E16" s="62"/>
      <c r="F16" s="62"/>
      <c r="G16" s="63"/>
      <c r="H16" s="64"/>
      <c r="I16" s="64"/>
      <c r="J16" s="62"/>
      <c r="K16" s="62"/>
    </row>
    <row r="17" spans="3:14" ht="15.75" customHeight="1">
      <c r="C17" s="32" t="s">
        <v>62</v>
      </c>
      <c r="D17" s="49">
        <v>4049868</v>
      </c>
      <c r="E17" s="49">
        <v>4644739</v>
      </c>
      <c r="F17" s="49">
        <v>5353952</v>
      </c>
      <c r="G17" s="91">
        <f t="shared" ref="G17:K18" si="0">F17*(1+G42)</f>
        <v>6130275.04</v>
      </c>
      <c r="H17" s="91">
        <f t="shared" si="0"/>
        <v>6896559.4199999999</v>
      </c>
      <c r="I17" s="91">
        <f t="shared" si="0"/>
        <v>7689663.7533</v>
      </c>
      <c r="J17" s="91">
        <f t="shared" si="0"/>
        <v>8497078.4473965</v>
      </c>
      <c r="K17" s="91">
        <f t="shared" si="0"/>
        <v>9346786.2921361513</v>
      </c>
    </row>
    <row r="18" spans="3:14" ht="15.75" customHeight="1">
      <c r="C18" s="32" t="s">
        <v>63</v>
      </c>
      <c r="D18" s="49">
        <v>513416</v>
      </c>
      <c r="E18" s="49">
        <v>592422</v>
      </c>
      <c r="F18" s="49">
        <v>708560</v>
      </c>
      <c r="G18" s="91">
        <f t="shared" si="0"/>
        <v>829015.2</v>
      </c>
      <c r="H18" s="91">
        <f t="shared" si="0"/>
        <v>961657.63199999987</v>
      </c>
      <c r="I18" s="91">
        <f t="shared" si="0"/>
        <v>1110714.5649599999</v>
      </c>
      <c r="J18" s="91">
        <f t="shared" si="0"/>
        <v>1282875.3225288</v>
      </c>
      <c r="K18" s="91">
        <f t="shared" si="0"/>
        <v>1475306.6209081199</v>
      </c>
    </row>
    <row r="19" spans="3:14" ht="15.75" customHeight="1">
      <c r="C19" s="25" t="s">
        <v>65</v>
      </c>
      <c r="D19" s="49">
        <f t="shared" ref="D19:K19" si="1">D18+D17</f>
        <v>4563284</v>
      </c>
      <c r="E19" s="49">
        <f t="shared" si="1"/>
        <v>5237161</v>
      </c>
      <c r="F19" s="49">
        <f t="shared" si="1"/>
        <v>6062512</v>
      </c>
      <c r="G19" s="91">
        <f t="shared" si="1"/>
        <v>6959290.2400000002</v>
      </c>
      <c r="H19" s="91">
        <f t="shared" si="1"/>
        <v>7858217.0520000001</v>
      </c>
      <c r="I19" s="91">
        <f t="shared" si="1"/>
        <v>8800378.3182599992</v>
      </c>
      <c r="J19" s="91">
        <f t="shared" si="1"/>
        <v>9779953.7699253</v>
      </c>
      <c r="K19" s="91">
        <f t="shared" si="1"/>
        <v>10822092.913044272</v>
      </c>
    </row>
    <row r="20" spans="3:14" ht="15.75" customHeight="1">
      <c r="C20" t="s">
        <v>66</v>
      </c>
      <c r="D20" s="49">
        <v>-3927965</v>
      </c>
      <c r="E20" s="49">
        <v>-4483019</v>
      </c>
      <c r="F20" s="49">
        <v>-5165060</v>
      </c>
      <c r="G20" s="91">
        <f>G21-G19</f>
        <v>-5901478.1235199999</v>
      </c>
      <c r="H20" s="91">
        <f>H21-H19</f>
        <v>-6640193.4089400005</v>
      </c>
      <c r="I20" s="91">
        <f>I21-I19</f>
        <v>-7392317.7873383993</v>
      </c>
      <c r="J20" s="91">
        <f>J21-J19</f>
        <v>-8185821.3054274758</v>
      </c>
      <c r="K20" s="91">
        <f>K21-K19</f>
        <v>-9036447.5823919661</v>
      </c>
    </row>
    <row r="21" spans="3:14" ht="15.75" customHeight="1">
      <c r="C21" s="72" t="s">
        <v>67</v>
      </c>
      <c r="D21" s="98">
        <f>SUM(D19:D20)</f>
        <v>635319</v>
      </c>
      <c r="E21" s="98">
        <f>SUM(E19:E20)</f>
        <v>754142</v>
      </c>
      <c r="F21" s="98">
        <f>SUM(F19:F20)</f>
        <v>897452</v>
      </c>
      <c r="G21" s="102">
        <f>G19*G44</f>
        <v>1057812.1164800001</v>
      </c>
      <c r="H21" s="102">
        <f>H19*H44</f>
        <v>1218023.6430599999</v>
      </c>
      <c r="I21" s="102">
        <f>I19*I44</f>
        <v>1408060.5309215998</v>
      </c>
      <c r="J21" s="102">
        <f>J19*J44</f>
        <v>1594132.464497824</v>
      </c>
      <c r="K21" s="102">
        <f>K19*K44</f>
        <v>1785645.3306523049</v>
      </c>
    </row>
    <row r="22" spans="3:14" ht="15.75" customHeight="1">
      <c r="C22" t="s">
        <v>68</v>
      </c>
      <c r="D22" s="49">
        <v>-93681</v>
      </c>
      <c r="E22" s="49">
        <v>-95457</v>
      </c>
      <c r="F22" s="49">
        <v>-98681</v>
      </c>
      <c r="G22" s="49">
        <v>-91258</v>
      </c>
      <c r="H22" s="49">
        <v>-84535</v>
      </c>
      <c r="I22" s="49">
        <v>-85364</v>
      </c>
      <c r="J22" s="49">
        <v>-84976</v>
      </c>
      <c r="K22" s="49">
        <v>-87197</v>
      </c>
      <c r="M22" t="s">
        <v>384</v>
      </c>
    </row>
    <row r="23" spans="3:14" ht="15.75" customHeight="1">
      <c r="C23" t="s">
        <v>70</v>
      </c>
      <c r="D23" s="49">
        <v>-202766</v>
      </c>
      <c r="E23" s="49">
        <v>-254092</v>
      </c>
      <c r="F23" s="49">
        <v>-247703</v>
      </c>
      <c r="G23" s="91">
        <f>-G19*G45</f>
        <v>-285330.89984000003</v>
      </c>
      <c r="H23" s="91">
        <f>-H19*H45</f>
        <v>-314328.68208</v>
      </c>
      <c r="I23" s="91">
        <f>-I19*I45</f>
        <v>-343214.75441213994</v>
      </c>
      <c r="J23" s="91">
        <f>-J19*J45</f>
        <v>-371638.2432571614</v>
      </c>
      <c r="K23" s="91">
        <f>-K19*K45</f>
        <v>-400417.43778263807</v>
      </c>
    </row>
    <row r="24" spans="3:14" ht="15.75" customHeight="1">
      <c r="C24" t="s">
        <v>71</v>
      </c>
      <c r="D24" s="49">
        <v>-1514</v>
      </c>
      <c r="E24" s="49">
        <v>-1374</v>
      </c>
      <c r="F24" s="49">
        <v>0</v>
      </c>
      <c r="G24" s="91">
        <f>F24</f>
        <v>0</v>
      </c>
      <c r="H24" s="91">
        <f>G24</f>
        <v>0</v>
      </c>
      <c r="I24" s="91">
        <f>H24</f>
        <v>0</v>
      </c>
      <c r="J24" s="91">
        <f>I24</f>
        <v>0</v>
      </c>
      <c r="K24" s="91">
        <f>J24</f>
        <v>0</v>
      </c>
    </row>
    <row r="25" spans="3:14" ht="15.75" customHeight="1">
      <c r="C25" s="72" t="s">
        <v>72</v>
      </c>
      <c r="D25" s="98">
        <f t="shared" ref="D25:K25" si="2">SUM(D21:D24)</f>
        <v>337358</v>
      </c>
      <c r="E25" s="98">
        <f t="shared" si="2"/>
        <v>403219</v>
      </c>
      <c r="F25" s="98">
        <f t="shared" si="2"/>
        <v>551068</v>
      </c>
      <c r="G25" s="102">
        <f t="shared" si="2"/>
        <v>681223.21664</v>
      </c>
      <c r="H25" s="102">
        <f t="shared" si="2"/>
        <v>819159.96097999997</v>
      </c>
      <c r="I25" s="102">
        <f t="shared" si="2"/>
        <v>979481.77650945983</v>
      </c>
      <c r="J25" s="102">
        <f t="shared" si="2"/>
        <v>1137518.2212406625</v>
      </c>
      <c r="K25" s="102">
        <f t="shared" si="2"/>
        <v>1298030.8928696669</v>
      </c>
      <c r="M25" s="72"/>
    </row>
    <row r="26" spans="3:14" ht="15.75" customHeight="1">
      <c r="C26" t="s">
        <v>73</v>
      </c>
      <c r="D26" s="49">
        <v>0</v>
      </c>
      <c r="E26" s="49">
        <v>0</v>
      </c>
      <c r="F26" s="49">
        <v>0</v>
      </c>
      <c r="G26" s="91">
        <f ca="1">G180</f>
        <v>0</v>
      </c>
      <c r="H26" s="91">
        <f ca="1">H180</f>
        <v>0</v>
      </c>
      <c r="I26" s="91">
        <f ca="1">I180</f>
        <v>0</v>
      </c>
      <c r="J26" s="91">
        <f ca="1">J180</f>
        <v>0</v>
      </c>
      <c r="K26" s="91">
        <f ca="1">K180</f>
        <v>0</v>
      </c>
    </row>
    <row r="27" spans="3:14" ht="15.75" customHeight="1">
      <c r="C27" t="s">
        <v>74</v>
      </c>
      <c r="D27" s="49">
        <v>-309645</v>
      </c>
      <c r="E27" s="49">
        <v>-282507</v>
      </c>
      <c r="F27" s="49">
        <v>-174217</v>
      </c>
      <c r="G27" s="91">
        <f ca="1">G166</f>
        <v>-138781.62900000002</v>
      </c>
      <c r="H27" s="91">
        <f ca="1">H166</f>
        <v>-134154.65700000001</v>
      </c>
      <c r="I27" s="91">
        <f ca="1">I166</f>
        <v>-126377.685</v>
      </c>
      <c r="J27" s="91">
        <f ca="1">J166</f>
        <v>-117025.713</v>
      </c>
      <c r="K27" s="91">
        <f ca="1">K166</f>
        <v>-106098.74099999999</v>
      </c>
    </row>
    <row r="28" spans="3:14" ht="15.75" customHeight="1">
      <c r="C28" t="s">
        <v>76</v>
      </c>
      <c r="D28" s="49">
        <v>-19921</v>
      </c>
      <c r="E28" s="49">
        <v>-23700</v>
      </c>
      <c r="F28" s="49">
        <v>0</v>
      </c>
      <c r="G28" s="91">
        <f t="shared" ref="G28:K29" si="3">F28</f>
        <v>0</v>
      </c>
      <c r="H28" s="91">
        <f t="shared" si="3"/>
        <v>0</v>
      </c>
      <c r="I28" s="91">
        <f t="shared" si="3"/>
        <v>0</v>
      </c>
      <c r="J28" s="91">
        <f t="shared" si="3"/>
        <v>0</v>
      </c>
      <c r="K28" s="91">
        <f t="shared" si="3"/>
        <v>0</v>
      </c>
    </row>
    <row r="29" spans="3:14" ht="15.75" customHeight="1">
      <c r="C29" t="s">
        <v>77</v>
      </c>
      <c r="D29" s="49">
        <v>-6182</v>
      </c>
      <c r="E29" s="49">
        <v>-15255</v>
      </c>
      <c r="F29" s="49">
        <v>0</v>
      </c>
      <c r="G29" s="91">
        <f t="shared" si="3"/>
        <v>0</v>
      </c>
      <c r="H29" s="91">
        <f t="shared" si="3"/>
        <v>0</v>
      </c>
      <c r="I29" s="91">
        <f t="shared" si="3"/>
        <v>0</v>
      </c>
      <c r="J29" s="91">
        <f t="shared" si="3"/>
        <v>0</v>
      </c>
      <c r="K29" s="91">
        <f t="shared" si="3"/>
        <v>0</v>
      </c>
    </row>
    <row r="30" spans="3:14" ht="15.75" customHeight="1">
      <c r="C30" t="s">
        <v>78</v>
      </c>
      <c r="D30" s="49">
        <v>3509</v>
      </c>
      <c r="E30" s="49">
        <v>0</v>
      </c>
      <c r="F30" s="49">
        <v>0</v>
      </c>
      <c r="G30" s="91">
        <v>0</v>
      </c>
      <c r="H30" s="91">
        <v>0</v>
      </c>
      <c r="I30" s="91">
        <v>0</v>
      </c>
      <c r="J30" s="91">
        <v>0</v>
      </c>
      <c r="K30" s="91">
        <v>0</v>
      </c>
    </row>
    <row r="31" spans="3:14" ht="15.75" customHeight="1">
      <c r="C31" s="72" t="s">
        <v>79</v>
      </c>
      <c r="D31" s="98">
        <f t="shared" ref="D31:K31" si="4">SUM(D25:D30)</f>
        <v>5119</v>
      </c>
      <c r="E31" s="98">
        <f t="shared" si="4"/>
        <v>81757</v>
      </c>
      <c r="F31" s="98">
        <f t="shared" si="4"/>
        <v>376851</v>
      </c>
      <c r="G31" s="102">
        <f t="shared" ca="1" si="4"/>
        <v>542441.58764000004</v>
      </c>
      <c r="H31" s="102">
        <f t="shared" ca="1" si="4"/>
        <v>685005.30397999997</v>
      </c>
      <c r="I31" s="102">
        <f t="shared" ca="1" si="4"/>
        <v>853104.09150945977</v>
      </c>
      <c r="J31" s="102">
        <f t="shared" ca="1" si="4"/>
        <v>1020492.5082406625</v>
      </c>
      <c r="K31" s="102">
        <f t="shared" ca="1" si="4"/>
        <v>1191932.151869667</v>
      </c>
      <c r="M31" s="72"/>
      <c r="N31" s="72"/>
    </row>
    <row r="32" spans="3:14" ht="15.75" customHeight="1">
      <c r="C32" t="s">
        <v>80</v>
      </c>
      <c r="D32" s="49">
        <v>-40180</v>
      </c>
      <c r="E32" s="49">
        <v>-70783</v>
      </c>
      <c r="F32" s="49">
        <v>-99435</v>
      </c>
      <c r="G32" s="91">
        <f ca="1">-G31*G46</f>
        <v>-135610.39691000001</v>
      </c>
      <c r="H32" s="91">
        <f ca="1">-H31*H46</f>
        <v>-171251.32599499999</v>
      </c>
      <c r="I32" s="91">
        <f ca="1">-I31*I46</f>
        <v>-213276.02287736494</v>
      </c>
      <c r="J32" s="91">
        <f ca="1">-J31*J46</f>
        <v>-255123.12706016563</v>
      </c>
      <c r="K32" s="91">
        <f ca="1">-K31*K46</f>
        <v>-297983.03796741675</v>
      </c>
    </row>
    <row r="33" spans="2:15" ht="15.75" customHeight="1">
      <c r="C33" s="72" t="s">
        <v>81</v>
      </c>
      <c r="D33" s="98">
        <f t="shared" ref="D33:K33" si="5">SUM(D31:D32)</f>
        <v>-35061</v>
      </c>
      <c r="E33" s="98">
        <f t="shared" si="5"/>
        <v>10974</v>
      </c>
      <c r="F33" s="98">
        <f t="shared" si="5"/>
        <v>277416</v>
      </c>
      <c r="G33" s="102">
        <f t="shared" ca="1" si="5"/>
        <v>406831.19073000003</v>
      </c>
      <c r="H33" s="102">
        <f t="shared" ca="1" si="5"/>
        <v>513753.977985</v>
      </c>
      <c r="I33" s="102">
        <f t="shared" ca="1" si="5"/>
        <v>639828.06863209489</v>
      </c>
      <c r="J33" s="102">
        <f t="shared" ca="1" si="5"/>
        <v>765369.38118049689</v>
      </c>
      <c r="K33" s="102">
        <f t="shared" ca="1" si="5"/>
        <v>893949.1139022503</v>
      </c>
      <c r="M33" s="72"/>
    </row>
    <row r="34" spans="2:15" ht="15.75" customHeight="1">
      <c r="C34" s="44"/>
      <c r="D34" s="91"/>
      <c r="E34" s="91"/>
      <c r="F34" s="91"/>
      <c r="G34" s="91"/>
      <c r="H34" s="91"/>
      <c r="I34" s="91"/>
      <c r="J34" s="91"/>
      <c r="K34" s="91"/>
    </row>
    <row r="35" spans="2:15" ht="15.75" customHeight="1">
      <c r="C35" s="95" t="s">
        <v>82</v>
      </c>
      <c r="D35" s="49">
        <v>197104</v>
      </c>
      <c r="E35" s="49">
        <v>188164</v>
      </c>
      <c r="F35" s="49">
        <v>193664</v>
      </c>
      <c r="G35" s="91">
        <f>G136</f>
        <v>193053.32600611763</v>
      </c>
      <c r="H35" s="91">
        <f>H136</f>
        <v>194030.7667549029</v>
      </c>
      <c r="I35" s="91">
        <f>I136</f>
        <v>204169.20950052125</v>
      </c>
      <c r="J35" s="91">
        <f>J136</f>
        <v>214074.74759428744</v>
      </c>
      <c r="K35" s="91">
        <f>K136</f>
        <v>227765.23894484044</v>
      </c>
    </row>
    <row r="36" spans="2:15" ht="15.75" customHeight="1">
      <c r="C36" s="97" t="s">
        <v>83</v>
      </c>
      <c r="D36" s="98">
        <f t="shared" ref="D36:K36" si="6">D25+D35</f>
        <v>534462</v>
      </c>
      <c r="E36" s="98">
        <f t="shared" si="6"/>
        <v>591383</v>
      </c>
      <c r="F36" s="98">
        <f t="shared" si="6"/>
        <v>744732</v>
      </c>
      <c r="G36" s="102">
        <f t="shared" si="6"/>
        <v>874276.54264611762</v>
      </c>
      <c r="H36" s="102">
        <f t="shared" si="6"/>
        <v>1013190.7277349029</v>
      </c>
      <c r="I36" s="102">
        <f t="shared" si="6"/>
        <v>1183650.986009981</v>
      </c>
      <c r="J36" s="102">
        <f t="shared" si="6"/>
        <v>1351592.9688349499</v>
      </c>
      <c r="K36" s="102">
        <f t="shared" si="6"/>
        <v>1525796.1318145073</v>
      </c>
      <c r="M36" s="72"/>
    </row>
    <row r="37" spans="2:15" ht="15.75" customHeight="1">
      <c r="C37" s="95" t="s">
        <v>85</v>
      </c>
      <c r="D37" s="49">
        <v>0</v>
      </c>
      <c r="E37" s="49">
        <v>17376</v>
      </c>
      <c r="F37" s="49">
        <v>13237</v>
      </c>
      <c r="G37" s="49">
        <f>F37</f>
        <v>13237</v>
      </c>
      <c r="H37" s="49">
        <f>G37</f>
        <v>13237</v>
      </c>
      <c r="I37" s="49">
        <f>H37</f>
        <v>13237</v>
      </c>
      <c r="J37" s="49">
        <f>I37</f>
        <v>13237</v>
      </c>
      <c r="K37" s="49">
        <f>J37</f>
        <v>13237</v>
      </c>
    </row>
    <row r="38" spans="2:15" ht="15.75" customHeight="1">
      <c r="C38" s="97" t="s">
        <v>385</v>
      </c>
      <c r="D38" s="98">
        <f t="shared" ref="D38:K38" si="7">D36+D37</f>
        <v>534462</v>
      </c>
      <c r="E38" s="98">
        <f t="shared" si="7"/>
        <v>608759</v>
      </c>
      <c r="F38" s="98">
        <f t="shared" si="7"/>
        <v>757969</v>
      </c>
      <c r="G38" s="102">
        <f t="shared" si="7"/>
        <v>887513.54264611762</v>
      </c>
      <c r="H38" s="102">
        <f t="shared" si="7"/>
        <v>1026427.7277349029</v>
      </c>
      <c r="I38" s="102">
        <f t="shared" si="7"/>
        <v>1196887.986009981</v>
      </c>
      <c r="J38" s="102">
        <f t="shared" si="7"/>
        <v>1364829.9688349499</v>
      </c>
      <c r="K38" s="102">
        <f t="shared" si="7"/>
        <v>1539033.1318145073</v>
      </c>
      <c r="M38" s="72"/>
    </row>
    <row r="39" spans="2:15" ht="15.75" customHeight="1">
      <c r="C39" s="44"/>
      <c r="G39" s="294"/>
    </row>
    <row r="40" spans="2:15" ht="15.75" customHeight="1">
      <c r="C40" s="26" t="s">
        <v>21</v>
      </c>
    </row>
    <row r="41" spans="2:15" ht="15.75" customHeight="1">
      <c r="C41" s="44" t="s">
        <v>24</v>
      </c>
      <c r="D41" s="42"/>
      <c r="E41" s="42">
        <f t="shared" ref="E41:K41" si="8">(E19-D19)/D19</f>
        <v>0.14767369289310067</v>
      </c>
      <c r="F41" s="42">
        <f t="shared" si="8"/>
        <v>0.157595116896349</v>
      </c>
      <c r="G41" s="42">
        <f t="shared" si="8"/>
        <v>0.14792189112367946</v>
      </c>
      <c r="H41" s="42">
        <f t="shared" si="8"/>
        <v>0.12916932345100754</v>
      </c>
      <c r="I41" s="42">
        <f t="shared" si="8"/>
        <v>0.11989504235190461</v>
      </c>
      <c r="J41" s="42">
        <f t="shared" si="8"/>
        <v>0.1113106069125198</v>
      </c>
      <c r="K41" s="42">
        <f t="shared" si="8"/>
        <v>0.10655869829606893</v>
      </c>
      <c r="M41" t="s">
        <v>25</v>
      </c>
      <c r="O41" s="43"/>
    </row>
    <row r="42" spans="2:15" ht="15.75" customHeight="1">
      <c r="C42" s="293" t="s">
        <v>26</v>
      </c>
      <c r="D42" s="42"/>
      <c r="E42" s="42">
        <f>(E17-D17)/D17</f>
        <v>0.14688651580742879</v>
      </c>
      <c r="F42" s="42">
        <f>(F17-E17)/E17</f>
        <v>0.15269167976930459</v>
      </c>
      <c r="G42" s="43">
        <v>0.14499999999999999</v>
      </c>
      <c r="H42" s="43">
        <v>0.125</v>
      </c>
      <c r="I42" s="43">
        <v>0.115</v>
      </c>
      <c r="J42" s="43">
        <v>0.105</v>
      </c>
      <c r="K42" s="43">
        <v>0.1</v>
      </c>
      <c r="O42" s="43"/>
    </row>
    <row r="43" spans="2:15" ht="15.75" customHeight="1">
      <c r="C43" s="293" t="s">
        <v>29</v>
      </c>
      <c r="D43" s="42"/>
      <c r="E43" s="42">
        <f>(E18-D18)/D18</f>
        <v>0.15388301104757157</v>
      </c>
      <c r="F43" s="42">
        <f>(F18-E18)/E18</f>
        <v>0.19603930981631337</v>
      </c>
      <c r="G43" s="43">
        <v>0.17</v>
      </c>
      <c r="H43" s="43">
        <v>0.16</v>
      </c>
      <c r="I43" s="43">
        <v>0.155</v>
      </c>
      <c r="J43" s="43">
        <v>0.155</v>
      </c>
      <c r="K43" s="43">
        <v>0.15</v>
      </c>
      <c r="O43" s="43"/>
    </row>
    <row r="44" spans="2:15" ht="15.75" customHeight="1">
      <c r="C44" s="44" t="s">
        <v>32</v>
      </c>
      <c r="D44" s="42">
        <f>D21/D19</f>
        <v>0.13922407634501818</v>
      </c>
      <c r="E44" s="42">
        <f>E21/E19</f>
        <v>0.14399824637814265</v>
      </c>
      <c r="F44" s="42">
        <f>F21/F19</f>
        <v>0.14803302657380307</v>
      </c>
      <c r="G44" s="43">
        <v>0.152</v>
      </c>
      <c r="H44" s="43">
        <v>0.155</v>
      </c>
      <c r="I44" s="43">
        <v>0.16</v>
      </c>
      <c r="J44" s="43">
        <v>0.16300000000000001</v>
      </c>
      <c r="K44" s="43">
        <v>0.16500000000000001</v>
      </c>
      <c r="M44" t="s">
        <v>33</v>
      </c>
      <c r="O44" s="43"/>
    </row>
    <row r="45" spans="2:15" ht="15.75" customHeight="1">
      <c r="C45" s="44" t="s">
        <v>36</v>
      </c>
      <c r="D45" s="42">
        <f>-D23/D19</f>
        <v>4.4434227630802729E-2</v>
      </c>
      <c r="E45" s="42">
        <f>-E23/E19</f>
        <v>4.8517125977223158E-2</v>
      </c>
      <c r="F45" s="42">
        <f>-F23/F19</f>
        <v>4.0858145930267847E-2</v>
      </c>
      <c r="G45" s="43">
        <v>4.1000000000000002E-2</v>
      </c>
      <c r="H45" s="43">
        <v>0.04</v>
      </c>
      <c r="I45" s="43">
        <v>3.9E-2</v>
      </c>
      <c r="J45" s="43">
        <v>3.7999999999999999E-2</v>
      </c>
      <c r="K45" s="43">
        <v>3.6999999999999998E-2</v>
      </c>
      <c r="M45" t="s">
        <v>37</v>
      </c>
      <c r="O45" s="43"/>
    </row>
    <row r="46" spans="2:15" ht="15.75" customHeight="1">
      <c r="C46" s="44" t="s">
        <v>40</v>
      </c>
      <c r="D46" s="42">
        <f>-D32/D31</f>
        <v>7.8491892947841375</v>
      </c>
      <c r="E46" s="42">
        <f>-E32/E31</f>
        <v>0.86577296133664394</v>
      </c>
      <c r="F46" s="42">
        <f>-F32/F31</f>
        <v>0.26385759889186972</v>
      </c>
      <c r="G46" s="43">
        <v>0.25</v>
      </c>
      <c r="H46" s="43">
        <v>0.25</v>
      </c>
      <c r="I46" s="43">
        <v>0.25</v>
      </c>
      <c r="J46" s="43">
        <v>0.25</v>
      </c>
      <c r="K46" s="43">
        <v>0.25</v>
      </c>
      <c r="M46" t="s">
        <v>41</v>
      </c>
      <c r="O46" s="43"/>
    </row>
    <row r="47" spans="2:15" ht="15.75" customHeight="1">
      <c r="C47" s="44"/>
      <c r="G47" s="294"/>
    </row>
    <row r="48" spans="2:15" ht="15.75" customHeight="1">
      <c r="B48" t="s">
        <v>0</v>
      </c>
      <c r="C48" s="57" t="s">
        <v>97</v>
      </c>
      <c r="D48" s="31"/>
      <c r="E48" s="31"/>
      <c r="F48" s="31"/>
      <c r="G48" s="6"/>
      <c r="H48" s="6"/>
      <c r="I48" s="6"/>
      <c r="J48" s="6"/>
      <c r="K48" s="6"/>
    </row>
    <row r="49" spans="3:15" ht="15.75" customHeight="1">
      <c r="C49" s="79" t="str">
        <f t="shared" ref="C49:K49" si="9">C14</f>
        <v xml:space="preserve">Fiscal year  </v>
      </c>
      <c r="D49" s="80">
        <f t="shared" si="9"/>
        <v>2023</v>
      </c>
      <c r="E49" s="81">
        <f t="shared" si="9"/>
        <v>2024</v>
      </c>
      <c r="F49" s="81">
        <f t="shared" si="9"/>
        <v>2025</v>
      </c>
      <c r="G49" s="83">
        <f t="shared" si="9"/>
        <v>2026</v>
      </c>
      <c r="H49" s="83">
        <f t="shared" si="9"/>
        <v>2027</v>
      </c>
      <c r="I49" s="83">
        <f t="shared" si="9"/>
        <v>2028</v>
      </c>
      <c r="J49" s="83">
        <f t="shared" si="9"/>
        <v>2029</v>
      </c>
      <c r="K49" s="83">
        <f t="shared" si="9"/>
        <v>2030</v>
      </c>
    </row>
    <row r="50" spans="3:15" ht="15.75" customHeight="1">
      <c r="C50" s="6" t="str">
        <f t="shared" ref="C50:K50" si="10">C15</f>
        <v>Fiscal year end date</v>
      </c>
      <c r="D50" s="84">
        <f t="shared" si="10"/>
        <v>45291</v>
      </c>
      <c r="E50" s="85">
        <f t="shared" si="10"/>
        <v>45657</v>
      </c>
      <c r="F50" s="85">
        <f t="shared" si="10"/>
        <v>46022</v>
      </c>
      <c r="G50" s="85">
        <f t="shared" si="10"/>
        <v>46387</v>
      </c>
      <c r="H50" s="85">
        <f t="shared" si="10"/>
        <v>46752</v>
      </c>
      <c r="I50" s="85">
        <f t="shared" si="10"/>
        <v>47118</v>
      </c>
      <c r="J50" s="85">
        <f t="shared" si="10"/>
        <v>47483</v>
      </c>
      <c r="K50" s="85">
        <f t="shared" si="10"/>
        <v>47848</v>
      </c>
    </row>
    <row r="51" spans="3:15" ht="15.75" customHeight="1">
      <c r="C51" s="25" t="s">
        <v>99</v>
      </c>
      <c r="D51" s="86"/>
      <c r="E51" s="86"/>
      <c r="F51" s="86"/>
      <c r="G51" s="86"/>
      <c r="H51" s="86"/>
      <c r="I51" s="86"/>
      <c r="J51" s="86"/>
      <c r="K51" s="86"/>
    </row>
    <row r="52" spans="3:15" ht="15.75" customHeight="1">
      <c r="C52" s="25" t="s">
        <v>100</v>
      </c>
      <c r="D52" s="86"/>
      <c r="E52" s="86"/>
      <c r="F52" s="86"/>
      <c r="G52" s="86"/>
      <c r="H52" s="86"/>
      <c r="I52" s="86"/>
      <c r="J52" s="86"/>
      <c r="K52" s="86"/>
    </row>
    <row r="53" spans="3:15" ht="15.75" customHeight="1">
      <c r="C53" s="89" t="s">
        <v>101</v>
      </c>
      <c r="D53" s="49"/>
      <c r="E53" s="49">
        <v>102581</v>
      </c>
      <c r="F53" s="49">
        <v>289717</v>
      </c>
      <c r="G53" s="91">
        <f ca="1">F53+G120</f>
        <v>510509.29624840332</v>
      </c>
      <c r="H53" s="91">
        <f ca="1">G53+H120</f>
        <v>601495.8971248595</v>
      </c>
      <c r="I53" s="91">
        <f ca="1">H53+I120</f>
        <v>807010.34523822111</v>
      </c>
      <c r="J53" s="91">
        <f ca="1">I53+J120</f>
        <v>1051121.0334052108</v>
      </c>
      <c r="K53" s="91">
        <f ca="1">J53+K120</f>
        <v>1409408.5254472441</v>
      </c>
    </row>
    <row r="54" spans="3:15" ht="15.75" customHeight="1">
      <c r="C54" s="89" t="s">
        <v>102</v>
      </c>
      <c r="D54" s="49"/>
      <c r="E54" s="49">
        <v>580668</v>
      </c>
      <c r="F54" s="49">
        <v>654390</v>
      </c>
      <c r="G54" s="91">
        <f>F54*(1+G41)</f>
        <v>751188.60633242456</v>
      </c>
      <c r="H54" s="91">
        <f>G54*(1+H41)</f>
        <v>848219.13039648917</v>
      </c>
      <c r="I54" s="91">
        <f>H54*(1+I41)</f>
        <v>949916.39895907184</v>
      </c>
      <c r="J54" s="91">
        <f>I54*(1+J41)</f>
        <v>1055652.1698433615</v>
      </c>
      <c r="K54" s="91">
        <f>J54*(1+K41)</f>
        <v>1168141.0909152906</v>
      </c>
    </row>
    <row r="55" spans="3:15" ht="15.75" customHeight="1">
      <c r="C55" s="89" t="s">
        <v>103</v>
      </c>
      <c r="D55" s="49"/>
      <c r="E55" s="49">
        <v>915200</v>
      </c>
      <c r="F55" s="49">
        <v>1071703</v>
      </c>
      <c r="G55" s="91">
        <f>F55*(1+G41)</f>
        <v>1230231.3344829206</v>
      </c>
      <c r="H55" s="91">
        <f>G55*(1+H41)</f>
        <v>1389139.4836463097</v>
      </c>
      <c r="I55" s="91">
        <f>H55*(1+I41)</f>
        <v>1555690.4208707868</v>
      </c>
      <c r="J55" s="91">
        <f>I55*(1+J41)</f>
        <v>1728855.2657859074</v>
      </c>
      <c r="K55" s="91">
        <f>J55*(1+K41)</f>
        <v>1913079.832450358</v>
      </c>
    </row>
    <row r="56" spans="3:15" ht="15.75" customHeight="1">
      <c r="C56" s="89" t="s">
        <v>104</v>
      </c>
      <c r="D56" s="49"/>
      <c r="E56" s="49">
        <v>847018</v>
      </c>
      <c r="F56" s="49">
        <v>827691</v>
      </c>
      <c r="G56" s="91">
        <f>F56*(1+((G20-F20)/F20))</f>
        <v>945700.59777319001</v>
      </c>
      <c r="H56" s="91">
        <f>G56*(1+((H20-G20)/G20))</f>
        <v>1064078.3113533934</v>
      </c>
      <c r="I56" s="91">
        <f>H56*(1+((I20-H20)/H20))</f>
        <v>1184604.8064727045</v>
      </c>
      <c r="J56" s="91">
        <f>I56*(1+((J20-I20)/I20))</f>
        <v>1311762.2296954095</v>
      </c>
      <c r="K56" s="91">
        <f>J56*(1+((K20-J20)/J20))</f>
        <v>1448073.4659263566</v>
      </c>
    </row>
    <row r="57" spans="3:15" ht="15.75" customHeight="1">
      <c r="C57" s="89" t="s">
        <v>105</v>
      </c>
      <c r="D57" s="49"/>
      <c r="E57" s="49">
        <v>29707</v>
      </c>
      <c r="F57" s="49">
        <v>42776</v>
      </c>
      <c r="G57" s="91">
        <f>F57*(1+G41)</f>
        <v>49103.50681470651</v>
      </c>
      <c r="H57" s="91">
        <f>G57*(1+H41)</f>
        <v>55446.173569034094</v>
      </c>
      <c r="I57" s="91">
        <f>H57*(1+I41)</f>
        <v>62093.894897344486</v>
      </c>
      <c r="J57" s="91">
        <f>I57*(1+J41)</f>
        <v>69005.604023930122</v>
      </c>
      <c r="K57" s="91">
        <f>J57*(1+K41)</f>
        <v>76358.751363854084</v>
      </c>
    </row>
    <row r="58" spans="3:15" ht="15.75" customHeight="1">
      <c r="C58" s="89" t="s">
        <v>106</v>
      </c>
      <c r="D58" s="49"/>
      <c r="E58" s="49">
        <v>9960</v>
      </c>
      <c r="F58" s="49">
        <v>10182</v>
      </c>
      <c r="G58" s="91">
        <f>F58</f>
        <v>10182</v>
      </c>
      <c r="H58" s="91">
        <f>G58</f>
        <v>10182</v>
      </c>
      <c r="I58" s="91">
        <f>H58</f>
        <v>10182</v>
      </c>
      <c r="J58" s="91">
        <f>I58</f>
        <v>10182</v>
      </c>
      <c r="K58" s="91">
        <f>J58</f>
        <v>10182</v>
      </c>
    </row>
    <row r="59" spans="3:15" ht="15.75" customHeight="1">
      <c r="C59" s="93" t="s">
        <v>107</v>
      </c>
      <c r="D59" s="49"/>
      <c r="E59" s="98">
        <f t="shared" ref="E59:K59" si="11">SUM(E53:E58)</f>
        <v>2485134</v>
      </c>
      <c r="F59" s="98">
        <f t="shared" si="11"/>
        <v>2896459</v>
      </c>
      <c r="G59" s="98">
        <f t="shared" ca="1" si="11"/>
        <v>3496915.3416516455</v>
      </c>
      <c r="H59" s="98">
        <f t="shared" ca="1" si="11"/>
        <v>3968560.9960900862</v>
      </c>
      <c r="I59" s="98">
        <f t="shared" ca="1" si="11"/>
        <v>4569497.866438129</v>
      </c>
      <c r="J59" s="98">
        <f t="shared" ca="1" si="11"/>
        <v>5226578.3027538192</v>
      </c>
      <c r="K59" s="98">
        <f t="shared" ca="1" si="11"/>
        <v>6025243.6661031032</v>
      </c>
    </row>
    <row r="60" spans="3:15" ht="15.75" customHeight="1">
      <c r="C60" t="s">
        <v>108</v>
      </c>
      <c r="D60" s="49"/>
      <c r="E60" s="49">
        <v>568607</v>
      </c>
      <c r="F60" s="49">
        <v>579971</v>
      </c>
      <c r="G60" s="91">
        <f>G129</f>
        <v>602929.43782247358</v>
      </c>
      <c r="H60" s="91">
        <f>H129</f>
        <v>628853.4015259681</v>
      </c>
      <c r="I60" s="91">
        <f>I129</f>
        <v>657885.51995562238</v>
      </c>
      <c r="J60" s="91">
        <f>J129</f>
        <v>690149.22110763751</v>
      </c>
      <c r="K60" s="91">
        <f>K129</f>
        <v>725850.90025662479</v>
      </c>
      <c r="O60" s="91"/>
    </row>
    <row r="61" spans="3:15" ht="15.75" customHeight="1">
      <c r="C61" s="95" t="s">
        <v>109</v>
      </c>
      <c r="D61" s="49"/>
      <c r="E61" s="49">
        <v>172206</v>
      </c>
      <c r="F61" s="49">
        <v>222151</v>
      </c>
      <c r="G61" s="91">
        <f>F61</f>
        <v>222151</v>
      </c>
      <c r="H61" s="91">
        <f>G61</f>
        <v>222151</v>
      </c>
      <c r="I61" s="91">
        <f>H61</f>
        <v>222151</v>
      </c>
      <c r="J61" s="91">
        <f>I61</f>
        <v>222151</v>
      </c>
      <c r="K61" s="91">
        <f>J61</f>
        <v>222151</v>
      </c>
      <c r="O61" s="91"/>
    </row>
    <row r="62" spans="3:15" ht="15.75" customHeight="1">
      <c r="C62" s="95" t="s">
        <v>110</v>
      </c>
      <c r="D62" s="49"/>
      <c r="E62" s="49">
        <v>1004701</v>
      </c>
      <c r="F62" s="49">
        <v>920432</v>
      </c>
      <c r="G62" s="91">
        <f>F62+-77930</f>
        <v>842502</v>
      </c>
      <c r="H62" s="91">
        <f>G62+-42617</f>
        <v>799885</v>
      </c>
      <c r="I62" s="91">
        <f>H62+-42900</f>
        <v>756985</v>
      </c>
      <c r="J62" s="91">
        <f>I62+-32786</f>
        <v>724199</v>
      </c>
      <c r="K62" s="91">
        <f>J62+-34690</f>
        <v>689509</v>
      </c>
      <c r="O62" s="91"/>
    </row>
    <row r="63" spans="3:15" ht="15.75" customHeight="1">
      <c r="C63" s="95" t="s">
        <v>112</v>
      </c>
      <c r="D63" s="49"/>
      <c r="E63" s="49">
        <v>291487</v>
      </c>
      <c r="F63" s="49">
        <v>244877</v>
      </c>
      <c r="G63" s="91">
        <f>F63+-16493</f>
        <v>228384</v>
      </c>
      <c r="H63" s="91">
        <f>G63+-13531</f>
        <v>214853</v>
      </c>
      <c r="I63" s="91">
        <f>H63+-13689</f>
        <v>201164</v>
      </c>
      <c r="J63" s="91">
        <f>I63+-13626</f>
        <v>187538</v>
      </c>
      <c r="K63" s="91">
        <f>J63+-14686</f>
        <v>172852</v>
      </c>
    </row>
    <row r="64" spans="3:15" ht="15.75" customHeight="1">
      <c r="C64" s="95" t="s">
        <v>114</v>
      </c>
      <c r="D64" s="49"/>
      <c r="E64" s="49">
        <v>1685970</v>
      </c>
      <c r="F64" s="49">
        <v>1684255</v>
      </c>
      <c r="G64" s="91">
        <f>F64</f>
        <v>1684255</v>
      </c>
      <c r="H64" s="91">
        <f>G64+45000</f>
        <v>1729255</v>
      </c>
      <c r="I64" s="91">
        <f>H64+45000</f>
        <v>1774255</v>
      </c>
      <c r="J64" s="91">
        <f>I64+60000</f>
        <v>1834255</v>
      </c>
      <c r="K64" s="91">
        <f>J64+60000</f>
        <v>1894255</v>
      </c>
      <c r="M64" t="s">
        <v>383</v>
      </c>
    </row>
    <row r="65" spans="3:11" ht="15.75" customHeight="1">
      <c r="C65" s="95" t="s">
        <v>116</v>
      </c>
      <c r="D65" s="49"/>
      <c r="E65" s="49">
        <v>1079</v>
      </c>
      <c r="F65" s="49">
        <v>2832</v>
      </c>
      <c r="G65" s="91">
        <f>F65</f>
        <v>2832</v>
      </c>
      <c r="H65" s="91">
        <f>G65</f>
        <v>2832</v>
      </c>
      <c r="I65" s="91">
        <f>H65</f>
        <v>2832</v>
      </c>
      <c r="J65" s="91">
        <f>I65</f>
        <v>2832</v>
      </c>
      <c r="K65" s="91">
        <f>J65</f>
        <v>2832</v>
      </c>
    </row>
    <row r="66" spans="3:11" ht="15.75" customHeight="1">
      <c r="C66" t="s">
        <v>117</v>
      </c>
      <c r="D66" s="49"/>
      <c r="E66" s="49">
        <v>4417</v>
      </c>
      <c r="F66" s="49">
        <v>6434</v>
      </c>
      <c r="G66" s="91">
        <f>F66*(1+G41)</f>
        <v>7385.7294474897535</v>
      </c>
      <c r="H66" s="91">
        <f>G66*(1+H41)</f>
        <v>8339.7391234141887</v>
      </c>
      <c r="I66" s="91">
        <f>H66*(1+I41)</f>
        <v>9339.6324988197684</v>
      </c>
      <c r="J66" s="91">
        <f>I66*(1+J41)</f>
        <v>10379.232660603291</v>
      </c>
      <c r="K66" s="91">
        <f>J66*(1+K41)</f>
        <v>11485.230182229221</v>
      </c>
    </row>
    <row r="67" spans="3:11" ht="15.75" customHeight="1">
      <c r="C67" s="97" t="s">
        <v>118</v>
      </c>
      <c r="D67" s="98"/>
      <c r="E67" s="98">
        <f t="shared" ref="E67:K67" si="12">SUM(E59:E66)</f>
        <v>6213601</v>
      </c>
      <c r="F67" s="98">
        <f t="shared" si="12"/>
        <v>6557411</v>
      </c>
      <c r="G67" s="98">
        <f t="shared" ca="1" si="12"/>
        <v>7087354.5089216083</v>
      </c>
      <c r="H67" s="98">
        <f t="shared" ca="1" si="12"/>
        <v>7574730.1367394682</v>
      </c>
      <c r="I67" s="98">
        <f t="shared" ca="1" si="12"/>
        <v>8194110.0188925704</v>
      </c>
      <c r="J67" s="98">
        <f t="shared" ca="1" si="12"/>
        <v>8898081.7565220594</v>
      </c>
      <c r="K67" s="98">
        <f t="shared" ca="1" si="12"/>
        <v>9744178.7965419572</v>
      </c>
    </row>
    <row r="68" spans="3:11" ht="15.75" customHeight="1">
      <c r="C68" s="74" t="s">
        <v>119</v>
      </c>
      <c r="D68" s="91"/>
      <c r="G68" s="91"/>
      <c r="H68" s="91"/>
      <c r="I68" s="91"/>
      <c r="J68" s="91"/>
      <c r="K68" s="91"/>
    </row>
    <row r="69" spans="3:11" ht="15.75" customHeight="1">
      <c r="C69" s="74" t="s">
        <v>120</v>
      </c>
      <c r="D69" s="91"/>
      <c r="G69" s="91"/>
      <c r="H69" s="91"/>
      <c r="I69" s="91"/>
      <c r="J69" s="91"/>
      <c r="K69" s="91"/>
    </row>
    <row r="70" spans="3:11" ht="15.75" customHeight="1">
      <c r="C70" s="89" t="s">
        <v>121</v>
      </c>
      <c r="D70" s="49"/>
      <c r="E70" s="49">
        <v>645701</v>
      </c>
      <c r="F70" s="49">
        <v>679772</v>
      </c>
      <c r="G70" s="91">
        <f>F70*(1+(G20-F20)/F20)</f>
        <v>776691.76872706949</v>
      </c>
      <c r="H70" s="91">
        <f>G70*(1+(H20-G20)/G20)</f>
        <v>873913.86624394718</v>
      </c>
      <c r="I70" s="91">
        <f>H70*(1+(I20-H20)/H20)</f>
        <v>972900.73047255957</v>
      </c>
      <c r="J70" s="91">
        <f>I70*(1+(J20-I20)/I20)</f>
        <v>1077333.4908854971</v>
      </c>
      <c r="K70" s="91">
        <f>J70*(1+(K20-J20)/J20)</f>
        <v>1189284.1604894716</v>
      </c>
    </row>
    <row r="71" spans="3:11" ht="15.75" customHeight="1">
      <c r="C71" s="89" t="s">
        <v>122</v>
      </c>
      <c r="D71" s="49"/>
      <c r="E71" s="49">
        <v>99572</v>
      </c>
      <c r="F71" s="49">
        <v>91499</v>
      </c>
      <c r="G71" s="91">
        <f>F71*(1+G41)</f>
        <v>105033.70511592555</v>
      </c>
      <c r="H71" s="91">
        <f>G71*(1+H41)</f>
        <v>118600.83774530228</v>
      </c>
      <c r="I71" s="91">
        <f>H71*(1+I41)</f>
        <v>132820.49020974667</v>
      </c>
      <c r="J71" s="91">
        <f>I71*(1+J41)</f>
        <v>147604.81958541195</v>
      </c>
      <c r="K71" s="91">
        <f>J71*(1+K41)</f>
        <v>163333.39702265954</v>
      </c>
    </row>
    <row r="72" spans="3:11" ht="15.75" customHeight="1">
      <c r="C72" s="89" t="s">
        <v>123</v>
      </c>
      <c r="D72" s="49"/>
      <c r="E72" s="49">
        <v>79134</v>
      </c>
      <c r="F72" s="49">
        <v>74008</v>
      </c>
      <c r="G72" s="91">
        <f>F72*(1+G41)</f>
        <v>84955.403318281271</v>
      </c>
      <c r="H72" s="91">
        <f>G72*(1+H41)</f>
        <v>95929.035288411149</v>
      </c>
      <c r="I72" s="91">
        <f>H72*(1+I41)</f>
        <v>107430.45103709254</v>
      </c>
      <c r="J72" s="91">
        <f>I72*(1+J41)</f>
        <v>119388.59974291705</v>
      </c>
      <c r="K72" s="91">
        <f>J72*(1+K41)</f>
        <v>132110.49352291267</v>
      </c>
    </row>
    <row r="73" spans="3:11" ht="15.75" customHeight="1">
      <c r="C73" s="89" t="s">
        <v>124</v>
      </c>
      <c r="D73" s="49"/>
      <c r="E73" s="49">
        <v>17663</v>
      </c>
      <c r="F73" s="49">
        <v>22308</v>
      </c>
      <c r="G73" s="91">
        <f t="shared" ref="G73:K74" si="13">F73</f>
        <v>22308</v>
      </c>
      <c r="H73" s="91">
        <f t="shared" si="13"/>
        <v>22308</v>
      </c>
      <c r="I73" s="91">
        <f t="shared" si="13"/>
        <v>22308</v>
      </c>
      <c r="J73" s="91">
        <f t="shared" si="13"/>
        <v>22308</v>
      </c>
      <c r="K73" s="91">
        <f t="shared" si="13"/>
        <v>22308</v>
      </c>
    </row>
    <row r="74" spans="3:11" ht="15.75" customHeight="1">
      <c r="C74" s="89" t="s">
        <v>125</v>
      </c>
      <c r="D74" s="49"/>
      <c r="E74" s="49">
        <v>1345</v>
      </c>
      <c r="F74" s="49">
        <v>438</v>
      </c>
      <c r="G74" s="91">
        <f t="shared" si="13"/>
        <v>438</v>
      </c>
      <c r="H74" s="91">
        <f t="shared" si="13"/>
        <v>438</v>
      </c>
      <c r="I74" s="91">
        <f t="shared" si="13"/>
        <v>438</v>
      </c>
      <c r="J74" s="91">
        <f t="shared" si="13"/>
        <v>438</v>
      </c>
      <c r="K74" s="91">
        <f t="shared" si="13"/>
        <v>438</v>
      </c>
    </row>
    <row r="75" spans="3:11" ht="15.75" customHeight="1">
      <c r="C75" s="89" t="s">
        <v>126</v>
      </c>
      <c r="D75" s="49"/>
      <c r="E75" s="49">
        <v>400025</v>
      </c>
      <c r="F75" s="49">
        <v>411321</v>
      </c>
      <c r="G75" s="91">
        <f>F75*(1+G41)</f>
        <v>472164.38017888297</v>
      </c>
      <c r="H75" s="91">
        <f>G75*(1+H41)</f>
        <v>533153.53372425365</v>
      </c>
      <c r="I75" s="91">
        <f>H75*(1+I41)</f>
        <v>597075.99923019065</v>
      </c>
      <c r="J75" s="91">
        <f>I75*(1+J41)</f>
        <v>663536.8910774024</v>
      </c>
      <c r="K75" s="91">
        <f>J75*(1+K41)</f>
        <v>734242.5184620308</v>
      </c>
    </row>
    <row r="76" spans="3:11" ht="15.75" customHeight="1">
      <c r="C76" s="89" t="s">
        <v>127</v>
      </c>
      <c r="D76" s="49"/>
      <c r="E76" s="49">
        <v>6655</v>
      </c>
      <c r="F76" s="49">
        <v>13547</v>
      </c>
      <c r="G76" s="91">
        <f t="shared" ref="G76:K77" si="14">F76</f>
        <v>13547</v>
      </c>
      <c r="H76" s="91">
        <f t="shared" si="14"/>
        <v>13547</v>
      </c>
      <c r="I76" s="91">
        <f t="shared" si="14"/>
        <v>13547</v>
      </c>
      <c r="J76" s="91">
        <f t="shared" si="14"/>
        <v>13547</v>
      </c>
      <c r="K76" s="91">
        <f t="shared" si="14"/>
        <v>13547</v>
      </c>
    </row>
    <row r="77" spans="3:11" ht="15.75" customHeight="1">
      <c r="C77" s="89" t="s">
        <v>128</v>
      </c>
      <c r="D77" s="49"/>
      <c r="E77" s="49">
        <v>23449</v>
      </c>
      <c r="F77" s="49">
        <v>23444</v>
      </c>
      <c r="G77" s="91">
        <f t="shared" si="14"/>
        <v>23444</v>
      </c>
      <c r="H77" s="91">
        <f t="shared" si="14"/>
        <v>23444</v>
      </c>
      <c r="I77" s="91">
        <f t="shared" si="14"/>
        <v>23444</v>
      </c>
      <c r="J77" s="91">
        <f t="shared" si="14"/>
        <v>23444</v>
      </c>
      <c r="K77" s="91">
        <f t="shared" si="14"/>
        <v>23444</v>
      </c>
    </row>
    <row r="78" spans="3:11" ht="15.75" customHeight="1">
      <c r="C78" s="93" t="s">
        <v>130</v>
      </c>
      <c r="D78" s="49"/>
      <c r="E78" s="98">
        <f t="shared" ref="E78:K78" si="15">SUM(E70:E77)</f>
        <v>1273544</v>
      </c>
      <c r="F78" s="98">
        <f t="shared" si="15"/>
        <v>1316337</v>
      </c>
      <c r="G78" s="98">
        <f t="shared" si="15"/>
        <v>1498582.2573401593</v>
      </c>
      <c r="H78" s="98">
        <f t="shared" si="15"/>
        <v>1681334.2730019144</v>
      </c>
      <c r="I78" s="98">
        <f t="shared" si="15"/>
        <v>1869964.6709495895</v>
      </c>
      <c r="J78" s="98">
        <f t="shared" si="15"/>
        <v>2067600.8012912287</v>
      </c>
      <c r="K78" s="98">
        <f t="shared" si="15"/>
        <v>2278707.5694970745</v>
      </c>
    </row>
    <row r="79" spans="3:11" ht="16.5" customHeight="1">
      <c r="C79" s="95" t="s">
        <v>131</v>
      </c>
      <c r="D79" s="49"/>
      <c r="E79" s="49">
        <v>2207977</v>
      </c>
      <c r="F79" s="49">
        <v>2191161</v>
      </c>
      <c r="G79" s="91">
        <f ca="1">F79-F77+G159+G119</f>
        <v>2167717</v>
      </c>
      <c r="H79" s="91">
        <f ca="1">G79-G77+H159-G159+H119</f>
        <v>2044273</v>
      </c>
      <c r="I79" s="91">
        <f ca="1">H79-H77+I159-H159+I119</f>
        <v>1920829</v>
      </c>
      <c r="J79" s="91">
        <f ca="1">I79-I77+J159-I159+J119</f>
        <v>1747385</v>
      </c>
      <c r="K79" s="91">
        <f ca="1">J79-J77+K159-J159+K119</f>
        <v>1573941</v>
      </c>
    </row>
    <row r="80" spans="3:11" ht="15.75" customHeight="1">
      <c r="C80" s="95" t="s">
        <v>133</v>
      </c>
      <c r="D80" s="49"/>
      <c r="E80" s="49">
        <v>164224</v>
      </c>
      <c r="F80" s="49">
        <v>212365</v>
      </c>
      <c r="G80" s="91">
        <f t="shared" ref="G80:K82" si="16">F80</f>
        <v>212365</v>
      </c>
      <c r="H80" s="91">
        <f t="shared" si="16"/>
        <v>212365</v>
      </c>
      <c r="I80" s="91">
        <f t="shared" si="16"/>
        <v>212365</v>
      </c>
      <c r="J80" s="91">
        <f t="shared" si="16"/>
        <v>212365</v>
      </c>
      <c r="K80" s="91">
        <f t="shared" si="16"/>
        <v>212365</v>
      </c>
    </row>
    <row r="81" spans="3:11" ht="15.75" customHeight="1">
      <c r="C81" s="95" t="s">
        <v>134</v>
      </c>
      <c r="D81" s="49"/>
      <c r="E81" s="49">
        <v>169824</v>
      </c>
      <c r="F81" s="49">
        <v>157206</v>
      </c>
      <c r="G81" s="91">
        <f t="shared" si="16"/>
        <v>157206</v>
      </c>
      <c r="H81" s="91">
        <f t="shared" si="16"/>
        <v>157206</v>
      </c>
      <c r="I81" s="91">
        <f t="shared" si="16"/>
        <v>157206</v>
      </c>
      <c r="J81" s="91">
        <f t="shared" si="16"/>
        <v>157206</v>
      </c>
      <c r="K81" s="91">
        <f t="shared" si="16"/>
        <v>157206</v>
      </c>
    </row>
    <row r="82" spans="3:11" ht="15.75" customHeight="1">
      <c r="C82" s="95" t="s">
        <v>135</v>
      </c>
      <c r="D82" s="49"/>
      <c r="E82" s="49">
        <v>0</v>
      </c>
      <c r="F82" s="49">
        <v>5770</v>
      </c>
      <c r="G82" s="91">
        <f t="shared" si="16"/>
        <v>5770</v>
      </c>
      <c r="H82" s="91">
        <f t="shared" si="16"/>
        <v>5770</v>
      </c>
      <c r="I82" s="91">
        <f t="shared" si="16"/>
        <v>5770</v>
      </c>
      <c r="J82" s="91">
        <f t="shared" si="16"/>
        <v>5770</v>
      </c>
      <c r="K82" s="91">
        <f t="shared" si="16"/>
        <v>5770</v>
      </c>
    </row>
    <row r="83" spans="3:11" ht="15.75" customHeight="1">
      <c r="C83" s="95" t="s">
        <v>136</v>
      </c>
      <c r="D83" s="49"/>
      <c r="E83" s="49">
        <v>24628</v>
      </c>
      <c r="F83" s="49">
        <v>7261</v>
      </c>
      <c r="G83" s="91">
        <f>F83*(1+G41)</f>
        <v>8335.0608514490359</v>
      </c>
      <c r="H83" s="91">
        <f>G83*(1+H41)</f>
        <v>9411.6950225536875</v>
      </c>
      <c r="I83" s="91">
        <f>H83*(1+I41)</f>
        <v>10540.110595885972</v>
      </c>
      <c r="J83" s="91">
        <f>I83*(1+J41)</f>
        <v>11713.33670323912</v>
      </c>
      <c r="K83" s="91">
        <f>J83*(1+K41)</f>
        <v>12961.494615039848</v>
      </c>
    </row>
    <row r="84" spans="3:11" ht="15.75" customHeight="1">
      <c r="C84" s="97" t="s">
        <v>137</v>
      </c>
      <c r="D84" s="98"/>
      <c r="E84" s="98">
        <f t="shared" ref="E84:K84" si="17">SUM(E78:E83)</f>
        <v>3840197</v>
      </c>
      <c r="F84" s="98">
        <f t="shared" si="17"/>
        <v>3890100</v>
      </c>
      <c r="G84" s="98">
        <f t="shared" ca="1" si="17"/>
        <v>4049975.3181916084</v>
      </c>
      <c r="H84" s="98">
        <f t="shared" ca="1" si="17"/>
        <v>4110359.968024468</v>
      </c>
      <c r="I84" s="98">
        <f t="shared" ca="1" si="17"/>
        <v>4176674.7815454756</v>
      </c>
      <c r="J84" s="98">
        <f t="shared" ca="1" si="17"/>
        <v>4202040.1379944682</v>
      </c>
      <c r="K84" s="98">
        <f t="shared" ca="1" si="17"/>
        <v>4240951.0641121147</v>
      </c>
    </row>
    <row r="85" spans="3:11" ht="15.75" customHeight="1">
      <c r="C85" s="97" t="s">
        <v>337</v>
      </c>
      <c r="D85" s="98"/>
      <c r="E85" s="49">
        <v>0</v>
      </c>
      <c r="F85" s="49">
        <v>0</v>
      </c>
      <c r="G85" s="102">
        <v>0</v>
      </c>
      <c r="H85" s="102">
        <v>0</v>
      </c>
      <c r="I85" s="102">
        <v>0</v>
      </c>
      <c r="J85" s="102">
        <v>0</v>
      </c>
      <c r="K85" s="102">
        <v>0</v>
      </c>
    </row>
    <row r="86" spans="3:11" ht="16.5" customHeight="1">
      <c r="C86" s="97" t="s">
        <v>139</v>
      </c>
      <c r="D86" s="98"/>
      <c r="E86" s="98"/>
      <c r="F86" s="98"/>
      <c r="G86" s="91"/>
      <c r="H86" s="91"/>
      <c r="I86" s="91"/>
      <c r="J86" s="91"/>
      <c r="K86" s="91"/>
    </row>
    <row r="87" spans="3:11" ht="15.75" customHeight="1">
      <c r="C87" s="89" t="s">
        <v>140</v>
      </c>
      <c r="D87" s="49"/>
      <c r="E87" s="49">
        <v>3345</v>
      </c>
      <c r="F87" s="49">
        <v>3345</v>
      </c>
      <c r="G87" s="91">
        <f>F87</f>
        <v>3345</v>
      </c>
      <c r="H87" s="91">
        <f>G87</f>
        <v>3345</v>
      </c>
      <c r="I87" s="91">
        <f>H87</f>
        <v>3345</v>
      </c>
      <c r="J87" s="91">
        <f>I87</f>
        <v>3345</v>
      </c>
      <c r="K87" s="91">
        <f>J87</f>
        <v>3345</v>
      </c>
    </row>
    <row r="88" spans="3:11" ht="15.75" customHeight="1">
      <c r="C88" s="89" t="s">
        <v>141</v>
      </c>
      <c r="D88" s="49"/>
      <c r="E88" s="49">
        <v>0</v>
      </c>
      <c r="F88" s="49">
        <v>0</v>
      </c>
      <c r="G88" s="91">
        <v>0</v>
      </c>
      <c r="H88" s="91">
        <v>0</v>
      </c>
      <c r="I88" s="91">
        <v>0</v>
      </c>
      <c r="J88" s="91">
        <v>0</v>
      </c>
      <c r="K88" s="91">
        <v>0</v>
      </c>
    </row>
    <row r="89" spans="3:11" ht="15.75" customHeight="1">
      <c r="C89" s="89" t="s">
        <v>379</v>
      </c>
      <c r="D89" s="49"/>
      <c r="E89" s="49">
        <v>3944802</v>
      </c>
      <c r="F89" s="49">
        <v>3958039</v>
      </c>
      <c r="G89" s="91">
        <f>F89+G37</f>
        <v>3971276</v>
      </c>
      <c r="H89" s="91">
        <f>G89+H37</f>
        <v>3984513</v>
      </c>
      <c r="I89" s="91">
        <f>H89+I37</f>
        <v>3997750</v>
      </c>
      <c r="J89" s="91">
        <f>I89+J37</f>
        <v>4010987</v>
      </c>
      <c r="K89" s="91">
        <f>J89+K37</f>
        <v>4024224</v>
      </c>
    </row>
    <row r="90" spans="3:11" ht="15.75" customHeight="1">
      <c r="C90" s="89" t="s">
        <v>143</v>
      </c>
      <c r="D90" s="49"/>
      <c r="E90" s="49">
        <v>-1563321</v>
      </c>
      <c r="F90" s="49">
        <v>-1285904</v>
      </c>
      <c r="G90" s="91">
        <f ca="1">F90+G33</f>
        <v>-879072.80926999997</v>
      </c>
      <c r="H90" s="91">
        <f ca="1">G90+H33</f>
        <v>-365318.83128499996</v>
      </c>
      <c r="I90" s="91">
        <f ca="1">H90+I33</f>
        <v>274509.23734709492</v>
      </c>
      <c r="J90" s="91">
        <f ca="1">I90+J33</f>
        <v>1039878.6185275918</v>
      </c>
      <c r="K90" s="91">
        <f ca="1">J90+K33</f>
        <v>1933827.732429842</v>
      </c>
    </row>
    <row r="91" spans="3:11" ht="15.75" customHeight="1">
      <c r="C91" s="89" t="s">
        <v>144</v>
      </c>
      <c r="D91" s="101"/>
      <c r="E91" s="49">
        <v>-11422</v>
      </c>
      <c r="F91" s="49">
        <v>-8169</v>
      </c>
      <c r="G91" s="91">
        <f>F91</f>
        <v>-8169</v>
      </c>
      <c r="H91" s="91">
        <f>G91</f>
        <v>-8169</v>
      </c>
      <c r="I91" s="91">
        <f>H91</f>
        <v>-8169</v>
      </c>
      <c r="J91" s="91">
        <f>I91</f>
        <v>-8169</v>
      </c>
      <c r="K91" s="91">
        <f>J91</f>
        <v>-8169</v>
      </c>
    </row>
    <row r="92" spans="3:11" ht="15.75" customHeight="1">
      <c r="C92" s="89" t="s">
        <v>145</v>
      </c>
      <c r="D92" s="49"/>
      <c r="E92" s="49">
        <v>0</v>
      </c>
      <c r="F92" s="49">
        <v>0</v>
      </c>
      <c r="G92" s="91">
        <f>F92+G116</f>
        <v>-50000</v>
      </c>
      <c r="H92" s="91">
        <f>G92+H116</f>
        <v>-150000</v>
      </c>
      <c r="I92" s="91">
        <f>H92+I116</f>
        <v>-250000</v>
      </c>
      <c r="J92" s="91">
        <f>I92+J116</f>
        <v>-350000</v>
      </c>
      <c r="K92" s="91">
        <f>J92+K116</f>
        <v>-450000</v>
      </c>
    </row>
    <row r="93" spans="3:11" ht="15.75" customHeight="1">
      <c r="C93" s="93" t="s">
        <v>146</v>
      </c>
      <c r="D93" s="102"/>
      <c r="E93" s="102">
        <f t="shared" ref="E93:K93" si="18">SUM(E87:E92)</f>
        <v>2373404</v>
      </c>
      <c r="F93" s="102">
        <f t="shared" si="18"/>
        <v>2667311</v>
      </c>
      <c r="G93" s="102">
        <f t="shared" ca="1" si="18"/>
        <v>3037379.1907299999</v>
      </c>
      <c r="H93" s="102">
        <f t="shared" ca="1" si="18"/>
        <v>3464370.1687150002</v>
      </c>
      <c r="I93" s="102">
        <f t="shared" ca="1" si="18"/>
        <v>4017435.2373470953</v>
      </c>
      <c r="J93" s="102">
        <f t="shared" ca="1" si="18"/>
        <v>4696041.6185275922</v>
      </c>
      <c r="K93" s="102">
        <f t="shared" ca="1" si="18"/>
        <v>5503227.7324298415</v>
      </c>
    </row>
    <row r="94" spans="3:11" ht="15.75" customHeight="1">
      <c r="C94" s="97" t="s">
        <v>147</v>
      </c>
      <c r="D94" s="91"/>
      <c r="E94" s="91">
        <f t="shared" ref="E94:K94" si="19">SUM(E93,E84)</f>
        <v>6213601</v>
      </c>
      <c r="F94" s="91">
        <f t="shared" si="19"/>
        <v>6557411</v>
      </c>
      <c r="G94" s="91">
        <f t="shared" ca="1" si="19"/>
        <v>7087354.5089216083</v>
      </c>
      <c r="H94" s="91">
        <f t="shared" ca="1" si="19"/>
        <v>7574730.1367394682</v>
      </c>
      <c r="I94" s="91">
        <f t="shared" ca="1" si="19"/>
        <v>8194110.0188925713</v>
      </c>
      <c r="J94" s="91">
        <f t="shared" ca="1" si="19"/>
        <v>8898081.7565220594</v>
      </c>
      <c r="K94" s="91">
        <f t="shared" ca="1" si="19"/>
        <v>9744178.7965419553</v>
      </c>
    </row>
    <row r="95" spans="3:11" ht="15.75" customHeight="1">
      <c r="C95" s="97"/>
      <c r="D95" s="91"/>
      <c r="E95" s="91"/>
      <c r="F95" s="91"/>
    </row>
    <row r="96" spans="3:11" ht="15.75" customHeight="1">
      <c r="C96" s="60" t="s">
        <v>148</v>
      </c>
      <c r="D96" s="103"/>
      <c r="E96" s="103">
        <f t="shared" ref="E96:K96" si="20">E67-E94</f>
        <v>0</v>
      </c>
      <c r="F96" s="103">
        <f t="shared" si="20"/>
        <v>0</v>
      </c>
      <c r="G96" s="103">
        <f t="shared" ca="1" si="20"/>
        <v>0</v>
      </c>
      <c r="H96" s="103">
        <f t="shared" ca="1" si="20"/>
        <v>0</v>
      </c>
      <c r="I96" s="103">
        <f t="shared" ca="1" si="20"/>
        <v>0</v>
      </c>
      <c r="J96" s="103">
        <f t="shared" ca="1" si="20"/>
        <v>0</v>
      </c>
      <c r="K96" s="103">
        <f t="shared" ca="1" si="20"/>
        <v>0</v>
      </c>
    </row>
    <row r="97" spans="2:13" ht="15.75" customHeight="1">
      <c r="E97" s="91"/>
      <c r="F97" s="91"/>
      <c r="H97" s="91"/>
      <c r="I97" s="91"/>
      <c r="J97" s="91"/>
      <c r="K97" s="91"/>
    </row>
    <row r="98" spans="2:13" ht="15.75" customHeight="1">
      <c r="B98" t="s">
        <v>0</v>
      </c>
      <c r="C98" s="57" t="s">
        <v>149</v>
      </c>
      <c r="D98" s="31"/>
      <c r="E98" s="31"/>
      <c r="F98" s="31"/>
      <c r="G98" s="31"/>
      <c r="H98" s="31"/>
      <c r="I98" s="31"/>
      <c r="J98" s="31"/>
      <c r="K98" s="31"/>
    </row>
    <row r="99" spans="2:13" ht="15.75" customHeight="1">
      <c r="C99" s="79" t="str">
        <f>C14</f>
        <v xml:space="preserve">Fiscal year  </v>
      </c>
      <c r="D99" s="81"/>
      <c r="E99" s="81"/>
      <c r="F99" s="81"/>
      <c r="G99" s="83">
        <f t="shared" ref="G99:K100" si="21">G14</f>
        <v>2026</v>
      </c>
      <c r="H99" s="83">
        <f t="shared" si="21"/>
        <v>2027</v>
      </c>
      <c r="I99" s="83">
        <f t="shared" si="21"/>
        <v>2028</v>
      </c>
      <c r="J99" s="83">
        <f t="shared" si="21"/>
        <v>2029</v>
      </c>
      <c r="K99" s="83">
        <f t="shared" si="21"/>
        <v>2030</v>
      </c>
    </row>
    <row r="100" spans="2:13" ht="15.75" customHeight="1">
      <c r="C100" s="6" t="str">
        <f>C15</f>
        <v>Fiscal year end date</v>
      </c>
      <c r="D100" s="85"/>
      <c r="E100" s="85"/>
      <c r="F100" s="85"/>
      <c r="G100" s="85">
        <f t="shared" si="21"/>
        <v>46387</v>
      </c>
      <c r="H100" s="85">
        <f t="shared" si="21"/>
        <v>46752</v>
      </c>
      <c r="I100" s="85">
        <f t="shared" si="21"/>
        <v>47118</v>
      </c>
      <c r="J100" s="85">
        <f t="shared" si="21"/>
        <v>47483</v>
      </c>
      <c r="K100" s="85">
        <f t="shared" si="21"/>
        <v>47848</v>
      </c>
    </row>
    <row r="102" spans="2:13" ht="15.75" customHeight="1">
      <c r="C102" t="s">
        <v>81</v>
      </c>
      <c r="D102" s="104"/>
      <c r="E102" s="104"/>
      <c r="F102" s="104"/>
      <c r="G102" s="91">
        <f ca="1">G33</f>
        <v>406831.19073000003</v>
      </c>
      <c r="H102" s="91">
        <f ca="1">H33</f>
        <v>513753.977985</v>
      </c>
      <c r="I102" s="91">
        <f ca="1">I33</f>
        <v>639828.06863209489</v>
      </c>
      <c r="J102" s="91">
        <f ca="1">J33</f>
        <v>765369.38118049689</v>
      </c>
      <c r="K102" s="91">
        <f ca="1">K33</f>
        <v>893949.1139022503</v>
      </c>
      <c r="M102" s="72"/>
    </row>
    <row r="103" spans="2:13" ht="15.75" customHeight="1">
      <c r="C103" t="s">
        <v>150</v>
      </c>
      <c r="D103" s="104"/>
      <c r="E103" s="104"/>
      <c r="F103" s="104"/>
      <c r="G103" s="91">
        <f>G35</f>
        <v>193053.32600611763</v>
      </c>
      <c r="H103" s="91">
        <f>H35</f>
        <v>194030.7667549029</v>
      </c>
      <c r="I103" s="91">
        <f>I35</f>
        <v>204169.20950052125</v>
      </c>
      <c r="J103" s="91">
        <f>J35</f>
        <v>214074.74759428744</v>
      </c>
      <c r="K103" s="91">
        <f>K35</f>
        <v>227765.23894484044</v>
      </c>
    </row>
    <row r="104" spans="2:13" ht="15.75" customHeight="1">
      <c r="C104" t="s">
        <v>85</v>
      </c>
      <c r="D104" s="104"/>
      <c r="E104" s="104"/>
      <c r="F104" s="104"/>
      <c r="G104" s="91">
        <f>G37</f>
        <v>13237</v>
      </c>
      <c r="H104" s="91">
        <f>H37</f>
        <v>13237</v>
      </c>
      <c r="I104" s="91">
        <f>I37</f>
        <v>13237</v>
      </c>
      <c r="J104" s="91">
        <f>J37</f>
        <v>13237</v>
      </c>
      <c r="K104" s="91">
        <f>K37</f>
        <v>13237</v>
      </c>
    </row>
    <row r="105" spans="2:13" ht="15.75" customHeight="1">
      <c r="C105" t="s">
        <v>152</v>
      </c>
      <c r="D105" s="91"/>
      <c r="E105" s="91"/>
      <c r="F105" s="91"/>
      <c r="G105" s="91">
        <f>F54+F55+F56+F57-G54-G55-G56-G57</f>
        <v>-379664.04540324165</v>
      </c>
      <c r="H105" s="91">
        <f>G54+G55+G56+G57-H54-H55-H56-H57</f>
        <v>-380659.05356198456</v>
      </c>
      <c r="I105" s="91">
        <f>H54+H55+H56+H57-I54-I55-I56-I57</f>
        <v>-395422.42223468091</v>
      </c>
      <c r="J105" s="91">
        <f>I54+I55+I56+I57-J54-J55-J56-J57</f>
        <v>-412969.74814870069</v>
      </c>
      <c r="K105" s="91">
        <f>J54+J55+J56+J57-K54-K55-K56-K57</f>
        <v>-440377.87130725052</v>
      </c>
    </row>
    <row r="106" spans="2:13" ht="15.75" customHeight="1">
      <c r="C106" t="s">
        <v>153</v>
      </c>
      <c r="D106" s="91"/>
      <c r="E106" s="91"/>
      <c r="F106" s="91"/>
      <c r="G106" s="91">
        <f>G70+G71+G72+G75-F70-F71-F72-F75</f>
        <v>182245.25734015927</v>
      </c>
      <c r="H106" s="91">
        <f>H70+H71+H72+H75-G70-G71-G72-G75</f>
        <v>182752.01566175511</v>
      </c>
      <c r="I106" s="91">
        <f>I70+I71+I72+I75-H70-H71-H72-H75</f>
        <v>188630.3979476752</v>
      </c>
      <c r="J106" s="91">
        <f>J70+J71+J72+J75-I70-I71-I72-I75</f>
        <v>197636.13034163928</v>
      </c>
      <c r="K106" s="91">
        <f>K70+K71+K72+K75-J70-J71-J72-J75</f>
        <v>211106.76820584608</v>
      </c>
    </row>
    <row r="107" spans="2:13" ht="15.75" customHeight="1">
      <c r="C107" t="s">
        <v>117</v>
      </c>
      <c r="G107" s="91">
        <f>-G66+F66</f>
        <v>-951.72944748975351</v>
      </c>
      <c r="H107" s="91">
        <f>-H66+G66</f>
        <v>-954.00967592443521</v>
      </c>
      <c r="I107" s="91">
        <f>-I66+H66</f>
        <v>-999.89337540557972</v>
      </c>
      <c r="J107" s="91">
        <f>-J66+I66</f>
        <v>-1039.6001617835227</v>
      </c>
      <c r="K107" s="91">
        <f>-K66+J66</f>
        <v>-1105.9975216259299</v>
      </c>
    </row>
    <row r="108" spans="2:13" ht="15.75" customHeight="1">
      <c r="C108" t="s">
        <v>136</v>
      </c>
      <c r="G108" s="91">
        <f>G83-F83</f>
        <v>1074.0608514490359</v>
      </c>
      <c r="H108" s="91">
        <f>H83-G83</f>
        <v>1076.6341711046516</v>
      </c>
      <c r="I108" s="91">
        <f>I83-H83</f>
        <v>1128.4155733322841</v>
      </c>
      <c r="J108" s="91">
        <f>J83-I83</f>
        <v>1173.2261073531481</v>
      </c>
      <c r="K108" s="91">
        <f>K83-J83</f>
        <v>1248.1579118007285</v>
      </c>
      <c r="M108" s="72"/>
    </row>
    <row r="109" spans="2:13" ht="15.75" customHeight="1">
      <c r="C109" s="72" t="s">
        <v>154</v>
      </c>
      <c r="G109" s="102">
        <f ca="1">SUM(G102:G108)</f>
        <v>415825.06007699453</v>
      </c>
      <c r="H109" s="102">
        <f ca="1">SUM(H102:H108)</f>
        <v>523237.33133485366</v>
      </c>
      <c r="I109" s="102">
        <f ca="1">SUM(I102:I108)</f>
        <v>650570.77604353707</v>
      </c>
      <c r="J109" s="102">
        <f ca="1">SUM(J102:J108)</f>
        <v>777481.13691329246</v>
      </c>
      <c r="K109" s="102">
        <f ca="1">SUM(K102:K108)</f>
        <v>905822.41013586102</v>
      </c>
    </row>
    <row r="110" spans="2:13" ht="15.75" customHeight="1">
      <c r="C110" t="s">
        <v>155</v>
      </c>
      <c r="G110" s="49">
        <v>0</v>
      </c>
      <c r="H110" s="49">
        <v>-75000</v>
      </c>
      <c r="I110" s="49">
        <v>-75000</v>
      </c>
      <c r="J110" s="49">
        <v>-100000</v>
      </c>
      <c r="K110" s="49">
        <v>-100000</v>
      </c>
      <c r="M110" t="s">
        <v>156</v>
      </c>
    </row>
    <row r="111" spans="2:13" ht="15.75" customHeight="1">
      <c r="C111" t="s">
        <v>157</v>
      </c>
      <c r="G111" s="91">
        <f>-G127</f>
        <v>-94588.763828591196</v>
      </c>
      <c r="H111" s="91">
        <f>-H127</f>
        <v>-106806.73045839745</v>
      </c>
      <c r="I111" s="91">
        <f>-I127</f>
        <v>-119612.32793017547</v>
      </c>
      <c r="J111" s="91">
        <f>-J127</f>
        <v>-132926.44874630266</v>
      </c>
      <c r="K111" s="91">
        <f>-K127</f>
        <v>-147090.91809382779</v>
      </c>
    </row>
    <row r="112" spans="2:13" ht="15.75" customHeight="1">
      <c r="C112" s="72" t="s">
        <v>158</v>
      </c>
      <c r="G112" s="102">
        <f>G111+G110+G113</f>
        <v>-121588.7638285912</v>
      </c>
      <c r="H112" s="102">
        <f>H111+H110+H113</f>
        <v>-208806.73045839745</v>
      </c>
      <c r="I112" s="102">
        <f>I111+I110+I113</f>
        <v>-221612.32793017547</v>
      </c>
      <c r="J112" s="102">
        <f>J111+J110+J113</f>
        <v>-259926.44874630266</v>
      </c>
      <c r="K112" s="102">
        <f>K111+K110+K113</f>
        <v>-274090.91809382779</v>
      </c>
    </row>
    <row r="113" spans="2:13" ht="15.75" customHeight="1">
      <c r="C113" t="s">
        <v>159</v>
      </c>
      <c r="G113" s="49">
        <v>-27000</v>
      </c>
      <c r="H113" s="49">
        <v>-27000</v>
      </c>
      <c r="I113" s="49">
        <v>-27000</v>
      </c>
      <c r="J113" s="49">
        <v>-27000</v>
      </c>
      <c r="K113" s="49">
        <v>-27000</v>
      </c>
      <c r="M113" t="s">
        <v>160</v>
      </c>
    </row>
    <row r="114" spans="2:13" ht="15.75" customHeight="1">
      <c r="C114" t="s">
        <v>131</v>
      </c>
      <c r="G114" s="91">
        <f>-G77</f>
        <v>-23444</v>
      </c>
      <c r="H114" s="91">
        <f>-H77</f>
        <v>-23444</v>
      </c>
      <c r="I114" s="91">
        <f>-I77</f>
        <v>-23444</v>
      </c>
      <c r="J114" s="91">
        <f>-J77</f>
        <v>-23444</v>
      </c>
      <c r="K114" s="91">
        <f>-K77</f>
        <v>-23444</v>
      </c>
    </row>
    <row r="115" spans="2:13" ht="15.75" customHeight="1">
      <c r="C115" t="s">
        <v>138</v>
      </c>
      <c r="G115" s="91">
        <v>0</v>
      </c>
      <c r="H115" s="91">
        <v>0</v>
      </c>
      <c r="I115" s="91">
        <v>0</v>
      </c>
      <c r="J115" s="91">
        <v>0</v>
      </c>
      <c r="K115" s="91">
        <v>0</v>
      </c>
    </row>
    <row r="116" spans="2:13" ht="18" customHeight="1">
      <c r="C116" t="s">
        <v>161</v>
      </c>
      <c r="F116" s="289"/>
      <c r="G116" s="49">
        <v>-50000</v>
      </c>
      <c r="H116" s="49">
        <v>-100000</v>
      </c>
      <c r="I116" s="49">
        <v>-100000</v>
      </c>
      <c r="J116" s="49">
        <v>-100000</v>
      </c>
      <c r="K116" s="49">
        <v>-100000</v>
      </c>
      <c r="M116" t="s">
        <v>162</v>
      </c>
    </row>
    <row r="117" spans="2:13" ht="15.75" customHeight="1">
      <c r="C117" t="s">
        <v>163</v>
      </c>
      <c r="G117" s="91">
        <v>0</v>
      </c>
      <c r="H117" s="91">
        <v>0</v>
      </c>
      <c r="I117" s="91">
        <v>0</v>
      </c>
      <c r="J117" s="91">
        <v>0</v>
      </c>
      <c r="K117" s="91">
        <v>0</v>
      </c>
    </row>
    <row r="118" spans="2:13" ht="15.75" customHeight="1">
      <c r="C118" s="72" t="s">
        <v>164</v>
      </c>
      <c r="G118" s="91">
        <f>SUM(G114:G117)+G119</f>
        <v>-73444</v>
      </c>
      <c r="H118" s="91">
        <f>SUM(H114:H117)+H119</f>
        <v>-223444</v>
      </c>
      <c r="I118" s="91">
        <f>SUM(I114:I117)+I119</f>
        <v>-223444</v>
      </c>
      <c r="J118" s="91">
        <f>SUM(J114:J117)+J119</f>
        <v>-273444</v>
      </c>
      <c r="K118" s="91">
        <f>SUM(K114:K117)+K119</f>
        <v>-273444</v>
      </c>
    </row>
    <row r="119" spans="2:13" ht="15.75" customHeight="1">
      <c r="C119" t="s">
        <v>165</v>
      </c>
      <c r="G119" s="49">
        <v>0</v>
      </c>
      <c r="H119" s="49">
        <v>-100000</v>
      </c>
      <c r="I119" s="49">
        <v>-100000</v>
      </c>
      <c r="J119" s="49">
        <v>-150000</v>
      </c>
      <c r="K119" s="49">
        <v>-150000</v>
      </c>
      <c r="M119" t="s">
        <v>166</v>
      </c>
    </row>
    <row r="120" spans="2:13" ht="15.75" customHeight="1">
      <c r="C120" s="72" t="s">
        <v>167</v>
      </c>
      <c r="G120" s="98">
        <f ca="1">G109+G112+G118</f>
        <v>220792.29624840332</v>
      </c>
      <c r="H120" s="98">
        <f ca="1">H109+H112+H118</f>
        <v>90986.600876456243</v>
      </c>
      <c r="I120" s="98">
        <f ca="1">I109+I112+I118</f>
        <v>205514.44811336161</v>
      </c>
      <c r="J120" s="98">
        <f ca="1">J109+J112+J118</f>
        <v>244110.68816698983</v>
      </c>
      <c r="K120" s="98">
        <f ca="1">K109+K112+K118</f>
        <v>358287.49204203323</v>
      </c>
    </row>
    <row r="122" spans="2:13" ht="15.75" customHeight="1">
      <c r="B122" t="s">
        <v>0</v>
      </c>
      <c r="C122" s="57" t="s">
        <v>168</v>
      </c>
      <c r="D122" s="6"/>
      <c r="E122" s="6"/>
      <c r="F122" s="6"/>
      <c r="G122" s="6"/>
      <c r="H122" s="6"/>
      <c r="I122" s="6"/>
      <c r="J122" s="6"/>
      <c r="K122" s="6"/>
    </row>
    <row r="123" spans="2:13" ht="15.75" customHeight="1">
      <c r="C123" s="79" t="str">
        <f t="shared" ref="C123:K123" si="22">C14</f>
        <v xml:space="preserve">Fiscal year  </v>
      </c>
      <c r="D123" s="81">
        <f t="shared" si="22"/>
        <v>2023</v>
      </c>
      <c r="E123" s="81">
        <f t="shared" si="22"/>
        <v>2024</v>
      </c>
      <c r="F123" s="81">
        <f t="shared" si="22"/>
        <v>2025</v>
      </c>
      <c r="G123" s="83">
        <f t="shared" si="22"/>
        <v>2026</v>
      </c>
      <c r="H123" s="83">
        <f t="shared" si="22"/>
        <v>2027</v>
      </c>
      <c r="I123" s="83">
        <f t="shared" si="22"/>
        <v>2028</v>
      </c>
      <c r="J123" s="83">
        <f t="shared" si="22"/>
        <v>2029</v>
      </c>
      <c r="K123" s="83">
        <f t="shared" si="22"/>
        <v>2030</v>
      </c>
    </row>
    <row r="124" spans="2:13" ht="15.75" customHeight="1">
      <c r="C124" s="6" t="str">
        <f t="shared" ref="C124:K124" si="23">C15</f>
        <v>Fiscal year end date</v>
      </c>
      <c r="D124" s="85">
        <f t="shared" si="23"/>
        <v>45291</v>
      </c>
      <c r="E124" s="85">
        <f t="shared" si="23"/>
        <v>45657</v>
      </c>
      <c r="F124" s="85">
        <f t="shared" si="23"/>
        <v>46022</v>
      </c>
      <c r="G124" s="85">
        <f t="shared" si="23"/>
        <v>46387</v>
      </c>
      <c r="H124" s="85">
        <f t="shared" si="23"/>
        <v>46752</v>
      </c>
      <c r="I124" s="85">
        <f t="shared" si="23"/>
        <v>47118</v>
      </c>
      <c r="J124" s="85">
        <f t="shared" si="23"/>
        <v>47483</v>
      </c>
      <c r="K124" s="85">
        <f t="shared" si="23"/>
        <v>47848</v>
      </c>
    </row>
    <row r="125" spans="2:13" ht="15.75" customHeight="1">
      <c r="C125" s="72"/>
      <c r="G125" s="306" t="s">
        <v>169</v>
      </c>
      <c r="H125" s="306"/>
      <c r="I125" s="306"/>
      <c r="J125" s="306"/>
      <c r="K125" s="306"/>
    </row>
    <row r="126" spans="2:13" ht="15.75" customHeight="1">
      <c r="C126" s="95" t="s">
        <v>170</v>
      </c>
      <c r="F126" s="91">
        <f>E60</f>
        <v>568607</v>
      </c>
      <c r="G126" s="91">
        <f>F129</f>
        <v>579971</v>
      </c>
      <c r="H126" s="91">
        <f>G129</f>
        <v>602929.43782247358</v>
      </c>
      <c r="I126" s="91">
        <f>H129</f>
        <v>628853.4015259681</v>
      </c>
      <c r="J126" s="91">
        <f>I129</f>
        <v>657885.51995562238</v>
      </c>
      <c r="K126" s="91">
        <f>J129</f>
        <v>690149.22110763751</v>
      </c>
    </row>
    <row r="127" spans="2:13" ht="15.75" customHeight="1">
      <c r="C127" s="44" t="s">
        <v>171</v>
      </c>
      <c r="D127" s="49"/>
      <c r="E127" s="49"/>
      <c r="F127" s="109">
        <v>82400</v>
      </c>
      <c r="G127" s="54">
        <f>($F$127/$F$19)*G19</f>
        <v>94588.763828591196</v>
      </c>
      <c r="H127" s="54">
        <f>($F$127/$F$19)*H19</f>
        <v>106806.73045839745</v>
      </c>
      <c r="I127" s="54">
        <f>($F$127/$F$19)*I19</f>
        <v>119612.32793017547</v>
      </c>
      <c r="J127" s="54">
        <f>($F$127/$F$19)*J19</f>
        <v>132926.44874630266</v>
      </c>
      <c r="K127" s="54">
        <f>($F$127/$F$19)*K19</f>
        <v>147090.91809382779</v>
      </c>
    </row>
    <row r="128" spans="2:13" ht="15.75" customHeight="1">
      <c r="C128" s="108" t="s">
        <v>173</v>
      </c>
      <c r="D128" s="109"/>
      <c r="E128" s="109"/>
      <c r="F128" s="109">
        <v>-62400</v>
      </c>
      <c r="G128" s="110">
        <f>-G127*G131</f>
        <v>-71630.326006117612</v>
      </c>
      <c r="H128" s="110">
        <f>-H127*H131</f>
        <v>-80882.766754902914</v>
      </c>
      <c r="I128" s="110">
        <f>-I127*I131</f>
        <v>-90580.209500521232</v>
      </c>
      <c r="J128" s="110">
        <f>-J127*J131</f>
        <v>-100662.74759428744</v>
      </c>
      <c r="K128" s="110">
        <f>-K127*K131</f>
        <v>-111389.23894484046</v>
      </c>
    </row>
    <row r="129" spans="2:15" ht="15.75" customHeight="1">
      <c r="C129" s="111" t="s">
        <v>175</v>
      </c>
      <c r="D129" s="102"/>
      <c r="E129" s="102"/>
      <c r="F129" s="102">
        <f>F60</f>
        <v>579971</v>
      </c>
      <c r="G129" s="102">
        <f>SUM(G126:G128)</f>
        <v>602929.43782247358</v>
      </c>
      <c r="H129" s="102">
        <f>SUM(H126:H128)</f>
        <v>628853.4015259681</v>
      </c>
      <c r="I129" s="102">
        <f>SUM(I126:I128)</f>
        <v>657885.51995562238</v>
      </c>
      <c r="J129" s="102">
        <f>SUM(J126:J128)</f>
        <v>690149.22110763751</v>
      </c>
      <c r="K129" s="102">
        <f>SUM(K126:K128)</f>
        <v>725850.90025662479</v>
      </c>
    </row>
    <row r="130" spans="2:15" ht="15.75" customHeight="1">
      <c r="C130" s="95"/>
      <c r="M130" s="26"/>
    </row>
    <row r="131" spans="2:15" ht="16.5" customHeight="1">
      <c r="C131" s="95" t="s">
        <v>176</v>
      </c>
      <c r="D131" s="112"/>
      <c r="E131" s="112"/>
      <c r="F131" s="113">
        <f>-F128/F127</f>
        <v>0.75728155339805825</v>
      </c>
      <c r="G131" s="42">
        <f>F131</f>
        <v>0.75728155339805825</v>
      </c>
      <c r="H131" s="42">
        <f>G131</f>
        <v>0.75728155339805825</v>
      </c>
      <c r="I131" s="42">
        <f>H131</f>
        <v>0.75728155339805825</v>
      </c>
      <c r="J131" s="42">
        <f>I131</f>
        <v>0.75728155339805825</v>
      </c>
      <c r="K131" s="42">
        <f>J131</f>
        <v>0.75728155339805825</v>
      </c>
    </row>
    <row r="132" spans="2:15" ht="15.75" customHeight="1">
      <c r="C132" s="95"/>
      <c r="D132" s="112"/>
      <c r="E132" s="112"/>
      <c r="F132" s="112"/>
      <c r="G132" s="42"/>
      <c r="H132" s="42"/>
      <c r="I132" s="42"/>
      <c r="J132" s="42"/>
      <c r="K132" s="42"/>
      <c r="O132" s="114"/>
    </row>
    <row r="133" spans="2:15" ht="15.75" customHeight="1">
      <c r="B133" t="s">
        <v>0</v>
      </c>
      <c r="C133" s="115" t="s">
        <v>177</v>
      </c>
      <c r="D133" s="116"/>
      <c r="E133" s="116"/>
      <c r="F133" s="116"/>
      <c r="G133" s="117"/>
      <c r="H133" s="117"/>
      <c r="I133" s="117"/>
      <c r="J133" s="117"/>
      <c r="K133" s="117"/>
      <c r="O133" s="114"/>
    </row>
    <row r="134" spans="2:15" ht="15.75" customHeight="1">
      <c r="C134" s="95" t="s">
        <v>178</v>
      </c>
      <c r="D134" s="91"/>
      <c r="E134" s="91"/>
      <c r="F134" s="91">
        <f>F35+F128</f>
        <v>131264</v>
      </c>
      <c r="G134" s="101">
        <v>121423</v>
      </c>
      <c r="H134" s="101">
        <v>113148</v>
      </c>
      <c r="I134" s="101">
        <v>113589</v>
      </c>
      <c r="J134" s="101">
        <v>113412</v>
      </c>
      <c r="K134" s="101">
        <v>116376</v>
      </c>
      <c r="O134" s="114"/>
    </row>
    <row r="135" spans="2:15" ht="15.75" customHeight="1">
      <c r="C135" s="44" t="s">
        <v>180</v>
      </c>
      <c r="D135" s="118"/>
      <c r="E135" s="118"/>
      <c r="F135" s="118"/>
      <c r="G135" s="42">
        <f>G134/G19</f>
        <v>1.7447612588722839E-2</v>
      </c>
      <c r="H135" s="42">
        <f>H134/H19</f>
        <v>1.4398686018885496E-2</v>
      </c>
      <c r="I135" s="42">
        <f>I134/I19</f>
        <v>1.2907286015683321E-2</v>
      </c>
      <c r="J135" s="42">
        <f>J134/J19</f>
        <v>1.1596373834481455E-2</v>
      </c>
      <c r="K135" s="42">
        <f>K134/K19</f>
        <v>1.075355764685107E-2</v>
      </c>
      <c r="O135" s="114"/>
    </row>
    <row r="136" spans="2:15" ht="15.75" customHeight="1">
      <c r="C136" s="97" t="s">
        <v>181</v>
      </c>
      <c r="D136" s="102"/>
      <c r="E136" s="102"/>
      <c r="F136" s="102"/>
      <c r="G136" s="98">
        <f>G134-G128</f>
        <v>193053.32600611763</v>
      </c>
      <c r="H136" s="98">
        <f>H134-H128</f>
        <v>194030.7667549029</v>
      </c>
      <c r="I136" s="98">
        <f>I134-I128</f>
        <v>204169.20950052125</v>
      </c>
      <c r="J136" s="98">
        <f>J134-J128</f>
        <v>214074.74759428744</v>
      </c>
      <c r="K136" s="98">
        <f>K134-K128</f>
        <v>227765.23894484044</v>
      </c>
      <c r="O136" s="114"/>
    </row>
    <row r="137" spans="2:15" ht="15.75" customHeight="1">
      <c r="H137" s="91"/>
      <c r="I137" s="91"/>
      <c r="J137" s="91"/>
      <c r="K137" s="91"/>
    </row>
    <row r="138" spans="2:15" ht="15.75" customHeight="1">
      <c r="B138" t="s">
        <v>0</v>
      </c>
      <c r="C138" s="119" t="s">
        <v>182</v>
      </c>
      <c r="D138" s="120"/>
      <c r="E138" s="120"/>
      <c r="F138" s="120"/>
      <c r="G138" s="121">
        <f>G14</f>
        <v>2026</v>
      </c>
      <c r="H138" s="121">
        <f>H14</f>
        <v>2027</v>
      </c>
      <c r="I138" s="121">
        <f>I14</f>
        <v>2028</v>
      </c>
      <c r="J138" s="121">
        <f>J14</f>
        <v>2029</v>
      </c>
      <c r="K138" s="121">
        <f>K14</f>
        <v>2030</v>
      </c>
    </row>
    <row r="139" spans="2:15" ht="15.75" customHeight="1">
      <c r="C139" s="95" t="s">
        <v>170</v>
      </c>
      <c r="F139" s="91">
        <f>E90</f>
        <v>-1563321</v>
      </c>
      <c r="G139" s="91">
        <f>F143</f>
        <v>-1285905</v>
      </c>
      <c r="H139" s="91">
        <f ca="1">G143</f>
        <v>-879073.80926999997</v>
      </c>
      <c r="I139" s="91">
        <f ca="1">H143</f>
        <v>-365319.83128499996</v>
      </c>
      <c r="J139" s="91">
        <f ca="1">I143</f>
        <v>274508.23734709492</v>
      </c>
      <c r="K139" s="91">
        <f ca="1">J143</f>
        <v>1039877.6185275918</v>
      </c>
    </row>
    <row r="140" spans="2:15" ht="15.75" customHeight="1">
      <c r="C140" s="44" t="s">
        <v>183</v>
      </c>
      <c r="D140" s="101"/>
      <c r="E140" s="101"/>
      <c r="F140" s="91">
        <f t="shared" ref="F140:K140" si="24">F33</f>
        <v>277416</v>
      </c>
      <c r="G140" s="91">
        <f t="shared" ca="1" si="24"/>
        <v>406831.19073000003</v>
      </c>
      <c r="H140" s="91">
        <f t="shared" ca="1" si="24"/>
        <v>513753.977985</v>
      </c>
      <c r="I140" s="91">
        <f t="shared" ca="1" si="24"/>
        <v>639828.06863209489</v>
      </c>
      <c r="J140" s="91">
        <f t="shared" ca="1" si="24"/>
        <v>765369.38118049689</v>
      </c>
      <c r="K140" s="91">
        <f t="shared" ca="1" si="24"/>
        <v>893949.1139022503</v>
      </c>
    </row>
    <row r="141" spans="2:15" ht="15.75" customHeight="1">
      <c r="C141" s="44" t="s">
        <v>184</v>
      </c>
      <c r="D141" s="49"/>
      <c r="E141" s="49"/>
      <c r="F141" s="91">
        <f t="shared" ref="F141:K141" si="25">-F117</f>
        <v>0</v>
      </c>
      <c r="G141" s="91">
        <f t="shared" si="25"/>
        <v>0</v>
      </c>
      <c r="H141" s="91">
        <f t="shared" si="25"/>
        <v>0</v>
      </c>
      <c r="I141" s="91">
        <f t="shared" si="25"/>
        <v>0</v>
      </c>
      <c r="J141" s="91">
        <f t="shared" si="25"/>
        <v>0</v>
      </c>
      <c r="K141" s="91">
        <f t="shared" si="25"/>
        <v>0</v>
      </c>
    </row>
    <row r="142" spans="2:15" ht="15.75" customHeight="1">
      <c r="C142" s="108" t="s">
        <v>185</v>
      </c>
      <c r="D142" s="109"/>
      <c r="E142" s="109"/>
      <c r="F142" s="110">
        <v>0</v>
      </c>
      <c r="G142" s="110">
        <v>0</v>
      </c>
      <c r="H142" s="110">
        <v>0</v>
      </c>
      <c r="I142" s="110">
        <v>0</v>
      </c>
      <c r="J142" s="110">
        <v>0</v>
      </c>
      <c r="K142" s="110">
        <v>0</v>
      </c>
    </row>
    <row r="143" spans="2:15" ht="15.75" customHeight="1">
      <c r="C143" s="111" t="s">
        <v>175</v>
      </c>
      <c r="D143" s="98"/>
      <c r="E143" s="98"/>
      <c r="F143" s="98">
        <f t="shared" ref="F143:K143" si="26">SUM(F139:F142)</f>
        <v>-1285905</v>
      </c>
      <c r="G143" s="98">
        <f t="shared" ca="1" si="26"/>
        <v>-879073.80926999997</v>
      </c>
      <c r="H143" s="98">
        <f t="shared" ca="1" si="26"/>
        <v>-365319.83128499996</v>
      </c>
      <c r="I143" s="98">
        <f t="shared" ca="1" si="26"/>
        <v>274508.23734709492</v>
      </c>
      <c r="J143" s="98">
        <f t="shared" ca="1" si="26"/>
        <v>1039877.6185275918</v>
      </c>
      <c r="K143" s="98">
        <f t="shared" ca="1" si="26"/>
        <v>1933826.732429842</v>
      </c>
    </row>
    <row r="144" spans="2:15" ht="15.75" customHeight="1">
      <c r="E144" s="104"/>
      <c r="F144" s="104"/>
    </row>
    <row r="145" spans="2:11" ht="15.75" customHeight="1">
      <c r="B145" t="s">
        <v>0</v>
      </c>
      <c r="C145" s="57" t="s">
        <v>186</v>
      </c>
      <c r="D145" s="6"/>
      <c r="E145" s="6"/>
      <c r="F145" s="6"/>
      <c r="G145" s="6"/>
      <c r="H145" s="6"/>
      <c r="I145" s="6"/>
      <c r="J145" s="6"/>
      <c r="K145" s="6"/>
    </row>
    <row r="146" spans="2:11" ht="15.75" customHeight="1">
      <c r="C146" s="79" t="str">
        <f t="shared" ref="C146:K146" si="27">C14</f>
        <v xml:space="preserve">Fiscal year  </v>
      </c>
      <c r="D146" s="81">
        <f t="shared" si="27"/>
        <v>2023</v>
      </c>
      <c r="E146" s="81">
        <f t="shared" si="27"/>
        <v>2024</v>
      </c>
      <c r="F146" s="81">
        <f t="shared" si="27"/>
        <v>2025</v>
      </c>
      <c r="G146" s="83">
        <f t="shared" si="27"/>
        <v>2026</v>
      </c>
      <c r="H146" s="83">
        <f t="shared" si="27"/>
        <v>2027</v>
      </c>
      <c r="I146" s="83">
        <f t="shared" si="27"/>
        <v>2028</v>
      </c>
      <c r="J146" s="83">
        <f t="shared" si="27"/>
        <v>2029</v>
      </c>
      <c r="K146" s="83">
        <f t="shared" si="27"/>
        <v>2030</v>
      </c>
    </row>
    <row r="147" spans="2:11" ht="15.75" customHeight="1">
      <c r="C147" s="6" t="str">
        <f t="shared" ref="C147:K147" si="28">C15</f>
        <v>Fiscal year end date</v>
      </c>
      <c r="D147" s="85">
        <f t="shared" si="28"/>
        <v>45291</v>
      </c>
      <c r="E147" s="85">
        <f t="shared" si="28"/>
        <v>45657</v>
      </c>
      <c r="F147" s="85">
        <f t="shared" si="28"/>
        <v>46022</v>
      </c>
      <c r="G147" s="85">
        <f t="shared" si="28"/>
        <v>46387</v>
      </c>
      <c r="H147" s="85">
        <f t="shared" si="28"/>
        <v>46752</v>
      </c>
      <c r="I147" s="85">
        <f t="shared" si="28"/>
        <v>47118</v>
      </c>
      <c r="J147" s="85">
        <f t="shared" si="28"/>
        <v>47483</v>
      </c>
      <c r="K147" s="85">
        <f t="shared" si="28"/>
        <v>47848</v>
      </c>
    </row>
    <row r="148" spans="2:11" ht="15.75" customHeight="1">
      <c r="C148" s="72"/>
    </row>
    <row r="149" spans="2:11" ht="15.75" customHeight="1">
      <c r="C149" s="26" t="s">
        <v>187</v>
      </c>
    </row>
    <row r="150" spans="2:11" ht="15.75" customHeight="1">
      <c r="C150" s="44" t="s">
        <v>188</v>
      </c>
      <c r="G150" s="91">
        <f>F53</f>
        <v>289717</v>
      </c>
      <c r="H150" s="91">
        <f ca="1">G53</f>
        <v>510509.29624840332</v>
      </c>
      <c r="I150" s="91">
        <f ca="1">H53</f>
        <v>601495.8971248595</v>
      </c>
      <c r="J150" s="91">
        <f ca="1">I53</f>
        <v>807010.34523822111</v>
      </c>
      <c r="K150" s="91">
        <f ca="1">J53</f>
        <v>1051121.0334052108</v>
      </c>
    </row>
    <row r="151" spans="2:11" ht="15.75" customHeight="1">
      <c r="C151" s="44" t="s">
        <v>189</v>
      </c>
      <c r="G151" s="49">
        <v>-50000</v>
      </c>
      <c r="H151" s="49">
        <v>-50000</v>
      </c>
      <c r="I151" s="49">
        <v>-50000</v>
      </c>
      <c r="J151" s="49">
        <v>-50000</v>
      </c>
      <c r="K151" s="49">
        <v>-50000</v>
      </c>
    </row>
    <row r="152" spans="2:11" ht="15.75" customHeight="1">
      <c r="C152" s="108" t="s">
        <v>190</v>
      </c>
      <c r="D152" s="122"/>
      <c r="E152" s="122"/>
      <c r="F152" s="122"/>
      <c r="G152" s="110">
        <f ca="1">G109+G112+G114+G116+G117+G119</f>
        <v>220792.29624840332</v>
      </c>
      <c r="H152" s="110">
        <f ca="1">H109+H112+H114+H116+H117+H119</f>
        <v>90986.600876456243</v>
      </c>
      <c r="I152" s="110">
        <f ca="1">I109+I112+I114+I116+I117+I119</f>
        <v>205514.44811336161</v>
      </c>
      <c r="J152" s="110">
        <f ca="1">J109+J112+J114+J116+J117+J119</f>
        <v>244110.68816698983</v>
      </c>
      <c r="K152" s="110">
        <f ca="1">K109+K112+K114+K116+K117+K119</f>
        <v>358287.49204203323</v>
      </c>
    </row>
    <row r="153" spans="2:11" ht="15.75" customHeight="1">
      <c r="C153" s="111" t="s">
        <v>191</v>
      </c>
      <c r="G153" s="98">
        <f ca="1">SUM(G150:G152)</f>
        <v>460509.29624840332</v>
      </c>
      <c r="H153" s="98">
        <f ca="1">SUM(H150:H152)</f>
        <v>551495.8971248595</v>
      </c>
      <c r="I153" s="98">
        <f ca="1">SUM(I150:I152)</f>
        <v>757010.34523822111</v>
      </c>
      <c r="J153" s="98">
        <f ca="1">SUM(J150:J152)</f>
        <v>1001121.0334052109</v>
      </c>
      <c r="K153" s="98">
        <f ca="1">SUM(K150:K152)</f>
        <v>1359408.5254472441</v>
      </c>
    </row>
    <row r="154" spans="2:11" ht="15.75" customHeight="1">
      <c r="C154" s="44"/>
      <c r="G154" s="123"/>
      <c r="H154" s="123"/>
      <c r="I154" s="123"/>
      <c r="J154" s="123"/>
      <c r="K154" s="123"/>
    </row>
    <row r="155" spans="2:11" ht="15.75" customHeight="1">
      <c r="C155" s="72" t="s">
        <v>192</v>
      </c>
    </row>
    <row r="156" spans="2:11" ht="15.75" customHeight="1">
      <c r="C156" s="44" t="s">
        <v>170</v>
      </c>
      <c r="G156" s="54">
        <f>F85</f>
        <v>0</v>
      </c>
      <c r="H156" s="91">
        <f ca="1">G159</f>
        <v>0</v>
      </c>
      <c r="I156" s="91">
        <f ca="1">H159</f>
        <v>0</v>
      </c>
      <c r="J156" s="91">
        <f ca="1">I159</f>
        <v>0</v>
      </c>
      <c r="K156" s="91">
        <f ca="1">J159</f>
        <v>0</v>
      </c>
    </row>
    <row r="157" spans="2:11" ht="15.75" customHeight="1">
      <c r="C157" s="44" t="s">
        <v>193</v>
      </c>
      <c r="G157" s="91">
        <f ca="1">IF(G153&lt;0,-G153,IF(G156&gt;0,-MIN(G156,G153),0))</f>
        <v>0</v>
      </c>
      <c r="H157" s="91">
        <f ca="1">IF(H153&lt;0,-H153,IF(H156&gt;0,-MIN(H156,H153),0))</f>
        <v>0</v>
      </c>
      <c r="I157" s="91">
        <f ca="1">IF(I153&lt;0,-I153,IF(I156&gt;0,-MIN(I156,I153),0))</f>
        <v>0</v>
      </c>
      <c r="J157" s="91">
        <f ca="1">IF(J153&lt;0,-J153,IF(J156&gt;0,-MIN(J156,J153),0))</f>
        <v>0</v>
      </c>
      <c r="K157" s="91">
        <f ca="1">IF(K153&lt;0,-K153,IF(K156&gt;0,-MIN(K156,K153),0))</f>
        <v>0</v>
      </c>
    </row>
    <row r="158" spans="2:11" ht="15.75" customHeight="1">
      <c r="C158" s="108" t="s">
        <v>194</v>
      </c>
      <c r="D158" s="122"/>
      <c r="E158" s="122"/>
      <c r="F158" s="122"/>
      <c r="G158" s="109">
        <v>0</v>
      </c>
      <c r="H158" s="109">
        <v>0</v>
      </c>
      <c r="I158" s="109">
        <v>0</v>
      </c>
      <c r="J158" s="109">
        <v>0</v>
      </c>
      <c r="K158" s="109">
        <v>0</v>
      </c>
    </row>
    <row r="159" spans="2:11" ht="15.75" customHeight="1">
      <c r="C159" s="124" t="s">
        <v>175</v>
      </c>
      <c r="D159" s="125"/>
      <c r="E159" s="125"/>
      <c r="F159" s="125"/>
      <c r="G159" s="126">
        <f ca="1">G156+G157+G158</f>
        <v>0</v>
      </c>
      <c r="H159" s="126">
        <f ca="1">H156+H157+H158</f>
        <v>0</v>
      </c>
      <c r="I159" s="126">
        <f ca="1">I156+I157+I158</f>
        <v>0</v>
      </c>
      <c r="J159" s="126">
        <f ca="1">J156+J157+J158</f>
        <v>0</v>
      </c>
      <c r="K159" s="126">
        <f ca="1">K156+K157+K158</f>
        <v>0</v>
      </c>
    </row>
    <row r="160" spans="2:11" ht="15.75" customHeight="1">
      <c r="C160" s="127" t="s">
        <v>195</v>
      </c>
      <c r="D160" s="129"/>
      <c r="E160" s="129"/>
      <c r="F160" s="130">
        <f t="shared" ref="F160:K160" si="29">F79+F77</f>
        <v>2214605</v>
      </c>
      <c r="G160" s="131">
        <f t="shared" ca="1" si="29"/>
        <v>2191161</v>
      </c>
      <c r="H160" s="131">
        <f t="shared" ca="1" si="29"/>
        <v>2067717</v>
      </c>
      <c r="I160" s="131">
        <f t="shared" ca="1" si="29"/>
        <v>1944273</v>
      </c>
      <c r="J160" s="131">
        <f t="shared" ca="1" si="29"/>
        <v>1770829</v>
      </c>
      <c r="K160" s="132">
        <f t="shared" ca="1" si="29"/>
        <v>1597385</v>
      </c>
    </row>
    <row r="161" spans="2:11" ht="15.75" customHeight="1">
      <c r="D161" s="91"/>
      <c r="E161" s="91"/>
      <c r="F161" s="133"/>
      <c r="G161" s="134"/>
      <c r="H161" s="134"/>
      <c r="I161" s="134"/>
      <c r="J161" s="134"/>
      <c r="K161" s="134"/>
    </row>
    <row r="162" spans="2:11" ht="15.75" customHeight="1">
      <c r="B162" t="s">
        <v>0</v>
      </c>
      <c r="C162" s="57" t="s">
        <v>196</v>
      </c>
      <c r="D162" s="116"/>
      <c r="E162" s="116"/>
      <c r="F162" s="116"/>
      <c r="G162" s="135"/>
      <c r="H162" s="135"/>
      <c r="I162" s="135"/>
      <c r="J162" s="135"/>
      <c r="K162" s="135"/>
    </row>
    <row r="163" spans="2:11" ht="15.75" customHeight="1">
      <c r="C163" s="79" t="str">
        <f t="shared" ref="C163:K163" si="30">C14</f>
        <v xml:space="preserve">Fiscal year  </v>
      </c>
      <c r="D163" s="81">
        <f t="shared" si="30"/>
        <v>2023</v>
      </c>
      <c r="E163" s="81">
        <f t="shared" si="30"/>
        <v>2024</v>
      </c>
      <c r="F163" s="81">
        <f t="shared" si="30"/>
        <v>2025</v>
      </c>
      <c r="G163" s="83">
        <f t="shared" si="30"/>
        <v>2026</v>
      </c>
      <c r="H163" s="83">
        <f t="shared" si="30"/>
        <v>2027</v>
      </c>
      <c r="I163" s="83">
        <f t="shared" si="30"/>
        <v>2028</v>
      </c>
      <c r="J163" s="83">
        <f t="shared" si="30"/>
        <v>2029</v>
      </c>
      <c r="K163" s="83">
        <f t="shared" si="30"/>
        <v>2030</v>
      </c>
    </row>
    <row r="164" spans="2:11" ht="15.75" customHeight="1">
      <c r="C164" s="6" t="str">
        <f t="shared" ref="C164:K164" si="31">C15</f>
        <v>Fiscal year end date</v>
      </c>
      <c r="D164" s="85">
        <f t="shared" si="31"/>
        <v>45291</v>
      </c>
      <c r="E164" s="85">
        <f t="shared" si="31"/>
        <v>45657</v>
      </c>
      <c r="F164" s="85">
        <f t="shared" si="31"/>
        <v>46022</v>
      </c>
      <c r="G164" s="85">
        <f t="shared" si="31"/>
        <v>46387</v>
      </c>
      <c r="H164" s="85">
        <f t="shared" si="31"/>
        <v>46752</v>
      </c>
      <c r="I164" s="85">
        <f t="shared" si="31"/>
        <v>47118</v>
      </c>
      <c r="J164" s="85">
        <f t="shared" si="31"/>
        <v>47483</v>
      </c>
      <c r="K164" s="85">
        <f t="shared" si="31"/>
        <v>47848</v>
      </c>
    </row>
    <row r="165" spans="2:11" ht="15.75" customHeight="1">
      <c r="C165" s="44"/>
      <c r="D165" s="91"/>
      <c r="E165" s="91"/>
      <c r="F165" s="91"/>
      <c r="G165" s="136"/>
      <c r="H165" s="136"/>
      <c r="I165" s="136"/>
      <c r="J165" s="136"/>
      <c r="K165" s="136"/>
    </row>
    <row r="166" spans="2:11" ht="15.75" customHeight="1">
      <c r="C166" s="95" t="s">
        <v>197</v>
      </c>
      <c r="D166" s="91"/>
      <c r="E166" s="91"/>
      <c r="F166" s="98">
        <f>F27</f>
        <v>-174217</v>
      </c>
      <c r="G166" s="98">
        <f ca="1">G171+G176</f>
        <v>-138781.62900000002</v>
      </c>
      <c r="H166" s="98">
        <f ca="1">H171+H176</f>
        <v>-134154.65700000001</v>
      </c>
      <c r="I166" s="98">
        <f ca="1">I171+I176</f>
        <v>-126377.685</v>
      </c>
      <c r="J166" s="98">
        <f ca="1">J171+J176</f>
        <v>-117025.713</v>
      </c>
      <c r="K166" s="98">
        <f ca="1">K171+K176</f>
        <v>-106098.74099999999</v>
      </c>
    </row>
    <row r="167" spans="2:11" ht="15.75" customHeight="1">
      <c r="C167" s="137"/>
    </row>
    <row r="168" spans="2:11" ht="15.75" customHeight="1">
      <c r="C168" s="138" t="s">
        <v>198</v>
      </c>
    </row>
    <row r="169" spans="2:11" ht="15.75" customHeight="1">
      <c r="C169" s="44" t="s">
        <v>199</v>
      </c>
      <c r="G169" s="43">
        <v>6.0499999999999998E-2</v>
      </c>
      <c r="H169" s="43">
        <v>6.0499999999999998E-2</v>
      </c>
      <c r="I169" s="43">
        <v>6.0499999999999998E-2</v>
      </c>
      <c r="J169" s="43">
        <v>6.0499999999999998E-2</v>
      </c>
      <c r="K169" s="43">
        <v>6.0499999999999998E-2</v>
      </c>
    </row>
    <row r="170" spans="2:11" ht="15.75" customHeight="1">
      <c r="C170" s="44" t="s">
        <v>200</v>
      </c>
      <c r="D170" s="91"/>
      <c r="E170" s="91"/>
      <c r="F170" s="91">
        <v>0</v>
      </c>
      <c r="G170" s="91">
        <f ca="1">G159</f>
        <v>0</v>
      </c>
      <c r="H170" s="91">
        <f ca="1">H159</f>
        <v>0</v>
      </c>
      <c r="I170" s="91">
        <f ca="1">I159</f>
        <v>0</v>
      </c>
      <c r="J170" s="91">
        <f ca="1">J159</f>
        <v>0</v>
      </c>
      <c r="K170" s="91">
        <f ca="1">K159</f>
        <v>0</v>
      </c>
    </row>
    <row r="171" spans="2:11" ht="15.75" customHeight="1">
      <c r="C171" s="139" t="s">
        <v>201</v>
      </c>
      <c r="D171" s="140"/>
      <c r="E171" s="140"/>
      <c r="F171" s="141">
        <v>0</v>
      </c>
      <c r="G171" s="141">
        <f ca="1">-G169*(F170+G170)/2</f>
        <v>0</v>
      </c>
      <c r="H171" s="141">
        <f ca="1">-H169*(G170+H170)/2</f>
        <v>0</v>
      </c>
      <c r="I171" s="141">
        <f ca="1">-I169*(H170+I170)/2</f>
        <v>0</v>
      </c>
      <c r="J171" s="141">
        <f ca="1">-J169*(I170+J170)/2</f>
        <v>0</v>
      </c>
      <c r="K171" s="141">
        <f ca="1">-K169*(J170+K170)/2</f>
        <v>0</v>
      </c>
    </row>
    <row r="172" spans="2:11" ht="15.75" customHeight="1">
      <c r="C172" s="89"/>
      <c r="D172" s="91"/>
      <c r="E172" s="91"/>
      <c r="F172" s="91"/>
    </row>
    <row r="173" spans="2:11" ht="15.75" customHeight="1">
      <c r="C173" s="138" t="s">
        <v>131</v>
      </c>
      <c r="D173" s="91"/>
      <c r="E173" s="91"/>
      <c r="F173" s="91"/>
    </row>
    <row r="174" spans="2:11" ht="15.75" customHeight="1">
      <c r="C174" s="44" t="s">
        <v>200</v>
      </c>
      <c r="D174" s="91"/>
      <c r="E174" s="91">
        <f t="shared" ref="E174:K174" si="32">E79+E77</f>
        <v>2231426</v>
      </c>
      <c r="F174" s="91">
        <f t="shared" si="32"/>
        <v>2214605</v>
      </c>
      <c r="G174" s="91">
        <f t="shared" ca="1" si="32"/>
        <v>2191161</v>
      </c>
      <c r="H174" s="91">
        <f t="shared" ca="1" si="32"/>
        <v>2067717</v>
      </c>
      <c r="I174" s="91">
        <f t="shared" ca="1" si="32"/>
        <v>1944273</v>
      </c>
      <c r="J174" s="91">
        <f t="shared" ca="1" si="32"/>
        <v>1770829</v>
      </c>
      <c r="K174" s="91">
        <f t="shared" ca="1" si="32"/>
        <v>1597385</v>
      </c>
    </row>
    <row r="175" spans="2:11" ht="15.75" customHeight="1">
      <c r="C175" s="44" t="s">
        <v>199</v>
      </c>
      <c r="E175" s="118"/>
      <c r="F175" s="112">
        <f>-F27/((E174+F174)/2)</f>
        <v>7.8369673985628982E-2</v>
      </c>
      <c r="G175" s="43">
        <v>6.3E-2</v>
      </c>
      <c r="H175" s="43">
        <v>6.3E-2</v>
      </c>
      <c r="I175" s="43">
        <v>6.3E-2</v>
      </c>
      <c r="J175" s="43">
        <v>6.3E-2</v>
      </c>
      <c r="K175" s="43">
        <v>6.3E-2</v>
      </c>
    </row>
    <row r="176" spans="2:11" ht="15.75" customHeight="1">
      <c r="C176" s="111" t="s">
        <v>74</v>
      </c>
      <c r="D176" s="102"/>
      <c r="E176" s="102"/>
      <c r="F176" s="91">
        <f>F27</f>
        <v>-174217</v>
      </c>
      <c r="G176" s="91">
        <f ca="1">-G175*(F174+G174)/2</f>
        <v>-138781.62900000002</v>
      </c>
      <c r="H176" s="91">
        <f ca="1">-H175*(G174+H174)/2</f>
        <v>-134154.65700000001</v>
      </c>
      <c r="I176" s="91">
        <f ca="1">-I175*(H174+I174)/2</f>
        <v>-126377.685</v>
      </c>
      <c r="J176" s="91">
        <f ca="1">-J175*(I174+J174)/2</f>
        <v>-117025.713</v>
      </c>
      <c r="K176" s="91">
        <f ca="1">-K175*(J174+K174)/2</f>
        <v>-106098.74099999999</v>
      </c>
    </row>
    <row r="177" spans="3:11" ht="15.75" customHeight="1">
      <c r="C177" s="111"/>
      <c r="D177" s="102"/>
      <c r="E177" s="102"/>
      <c r="F177" s="102"/>
      <c r="G177" s="102"/>
      <c r="H177" s="102"/>
      <c r="I177" s="102"/>
      <c r="J177" s="102"/>
      <c r="K177" s="102"/>
    </row>
    <row r="178" spans="3:11" ht="15.75" customHeight="1">
      <c r="C178" s="137" t="s">
        <v>202</v>
      </c>
      <c r="E178" s="91"/>
      <c r="F178" s="91"/>
    </row>
    <row r="179" spans="3:11" ht="15.75" customHeight="1">
      <c r="C179" s="44" t="s">
        <v>203</v>
      </c>
      <c r="F179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</row>
    <row r="180" spans="3:11" ht="15.75" customHeight="1">
      <c r="C180" s="44" t="s">
        <v>73</v>
      </c>
      <c r="D180" s="91"/>
      <c r="E180" s="91"/>
      <c r="F180" s="91">
        <f>F26</f>
        <v>0</v>
      </c>
      <c r="G180" s="91">
        <f ca="1">G179*(F53+G53)/2</f>
        <v>0</v>
      </c>
      <c r="H180" s="91">
        <f ca="1">H179*(G53+H53)/2</f>
        <v>0</v>
      </c>
      <c r="I180" s="91">
        <f ca="1">I179*(H53+I53)/2</f>
        <v>0</v>
      </c>
      <c r="J180" s="91">
        <f ca="1">J179*(I53+J53)/2</f>
        <v>0</v>
      </c>
      <c r="K180" s="91">
        <f ca="1">K179*(J53+K53)/2</f>
        <v>0</v>
      </c>
    </row>
  </sheetData>
  <mergeCells count="1">
    <mergeCell ref="G125:K125"/>
  </mergeCells>
  <conditionalFormatting sqref="C45">
    <cfRule type="expression" dxfId="5" priority="2">
      <formula>#REF!=$C45</formula>
    </cfRule>
  </conditionalFormatting>
  <dataValidations count="2">
    <dataValidation type="list" allowBlank="1" showInputMessage="1" showErrorMessage="1" sqref="C3" xr:uid="{00000000-0002-0000-0600-000000000000}">
      <formula1>"$ bns except per share,$ mm except per share,$ in thousands except per share"</formula1>
      <formula2>0</formula2>
    </dataValidation>
    <dataValidation type="list" allowBlank="1" showInputMessage="1" showErrorMessage="1" sqref="D7" xr:uid="{00000000-0002-0000-0600-000001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180"/>
  <sheetViews>
    <sheetView showGridLines="0" topLeftCell="A15" zoomScale="125" zoomScaleNormal="125" workbookViewId="0">
      <selection activeCell="G27" sqref="G27"/>
    </sheetView>
  </sheetViews>
  <sheetFormatPr baseColWidth="10" defaultColWidth="11" defaultRowHeight="16"/>
  <cols>
    <col min="1" max="1" width="2.5" customWidth="1"/>
    <col min="2" max="2" width="2.1640625" customWidth="1"/>
    <col min="3" max="3" width="26.1640625" customWidth="1"/>
    <col min="4" max="4" width="12.6640625" customWidth="1"/>
    <col min="7" max="7" width="12.5" customWidth="1"/>
    <col min="12" max="12" width="2.1640625" customWidth="1"/>
  </cols>
  <sheetData>
    <row r="1" spans="2:15" ht="16.5" customHeight="1"/>
    <row r="2" spans="2:15" ht="16.5" customHeight="1">
      <c r="B2" t="s">
        <v>0</v>
      </c>
      <c r="C2" s="2" t="str">
        <f>"Financial Statement Model for "&amp;D5</f>
        <v>Financial Statement Model for StandardAero</v>
      </c>
      <c r="D2" s="3"/>
      <c r="E2" s="3"/>
      <c r="F2" s="3"/>
      <c r="G2" s="3"/>
      <c r="H2" s="3"/>
      <c r="I2" s="3"/>
      <c r="J2" s="3"/>
      <c r="K2" s="3"/>
    </row>
    <row r="3" spans="2:15" ht="15.75" customHeight="1">
      <c r="C3" s="4" t="s">
        <v>1</v>
      </c>
      <c r="D3" s="5"/>
      <c r="E3" s="5"/>
      <c r="F3" s="5"/>
      <c r="G3" s="5"/>
      <c r="H3" s="5"/>
    </row>
    <row r="5" spans="2:15" ht="15.75" customHeight="1">
      <c r="C5" s="282" t="s">
        <v>3</v>
      </c>
      <c r="D5" s="283" t="s">
        <v>4</v>
      </c>
    </row>
    <row r="6" spans="2:15" ht="15.75" customHeight="1">
      <c r="C6" s="282" t="s">
        <v>5</v>
      </c>
      <c r="D6" s="283" t="s">
        <v>6</v>
      </c>
    </row>
    <row r="7" spans="2:15" ht="15.75" customHeight="1">
      <c r="C7" t="s">
        <v>377</v>
      </c>
      <c r="D7" s="292">
        <v>1</v>
      </c>
    </row>
    <row r="8" spans="2:15" ht="15.75" customHeight="1">
      <c r="C8" t="s">
        <v>7</v>
      </c>
      <c r="D8" s="284">
        <v>25.59</v>
      </c>
    </row>
    <row r="9" spans="2:15" ht="15.75" customHeight="1">
      <c r="C9" t="s">
        <v>8</v>
      </c>
      <c r="D9" s="285">
        <v>46119</v>
      </c>
    </row>
    <row r="10" spans="2:15" ht="15.75" customHeight="1">
      <c r="C10" s="282" t="s">
        <v>9</v>
      </c>
      <c r="D10" s="286">
        <v>46022</v>
      </c>
    </row>
    <row r="11" spans="2:15" ht="15.75" customHeight="1">
      <c r="C11" t="s">
        <v>10</v>
      </c>
      <c r="D11" s="287">
        <v>334294</v>
      </c>
      <c r="M11" t="s">
        <v>11</v>
      </c>
    </row>
    <row r="13" spans="2:15" ht="15.75" customHeight="1">
      <c r="B13" t="s">
        <v>0</v>
      </c>
      <c r="C13" s="57" t="s">
        <v>61</v>
      </c>
      <c r="D13" s="6"/>
      <c r="E13" s="6"/>
      <c r="F13" s="6"/>
      <c r="G13" s="6"/>
      <c r="H13" s="6"/>
      <c r="I13" s="6"/>
      <c r="J13" s="6"/>
      <c r="K13" s="6"/>
    </row>
    <row r="14" spans="2:15" ht="15.75" customHeight="1">
      <c r="C14" t="s">
        <v>22</v>
      </c>
      <c r="D14" s="58">
        <f>E14-1</f>
        <v>2023</v>
      </c>
      <c r="E14" s="58">
        <f>F14-1</f>
        <v>2024</v>
      </c>
      <c r="F14" s="58">
        <f>YEAR(D10)</f>
        <v>2025</v>
      </c>
      <c r="G14" s="59">
        <f>F14+1</f>
        <v>2026</v>
      </c>
      <c r="H14" s="59">
        <f>G14+1</f>
        <v>2027</v>
      </c>
      <c r="I14" s="59">
        <f>H14+1</f>
        <v>2028</v>
      </c>
      <c r="J14" s="59">
        <f>I14+1</f>
        <v>2029</v>
      </c>
      <c r="K14" s="59">
        <f>J14+1</f>
        <v>2030</v>
      </c>
    </row>
    <row r="15" spans="2:15" ht="15.75" customHeight="1">
      <c r="C15" s="30" t="s">
        <v>23</v>
      </c>
      <c r="D15" s="31">
        <f>EOMONTH(E15,-12)</f>
        <v>45291</v>
      </c>
      <c r="E15" s="31">
        <f>EOMONTH(F15,-12)</f>
        <v>45657</v>
      </c>
      <c r="F15" s="31">
        <f>D10</f>
        <v>46022</v>
      </c>
      <c r="G15" s="31">
        <f>EOMONTH(F15,12)</f>
        <v>46387</v>
      </c>
      <c r="H15" s="31">
        <f>EOMONTH(G15,12)</f>
        <v>46752</v>
      </c>
      <c r="I15" s="31">
        <f>EOMONTH(H15,12)</f>
        <v>47118</v>
      </c>
      <c r="J15" s="31">
        <f>EOMONTH(I15,12)</f>
        <v>47483</v>
      </c>
      <c r="K15" s="31">
        <f>EOMONTH(J15,12)</f>
        <v>47848</v>
      </c>
      <c r="M15" s="57" t="s">
        <v>2</v>
      </c>
      <c r="N15" s="6"/>
      <c r="O15" s="6"/>
    </row>
    <row r="16" spans="2:15" ht="15.75" customHeight="1">
      <c r="C16" s="60"/>
      <c r="D16" s="61"/>
      <c r="E16" s="62"/>
      <c r="F16" s="62"/>
      <c r="G16" s="63"/>
      <c r="H16" s="64"/>
      <c r="I16" s="64"/>
      <c r="J16" s="62"/>
      <c r="K16" s="62"/>
    </row>
    <row r="17" spans="3:14" ht="15.75" customHeight="1">
      <c r="C17" s="32" t="s">
        <v>62</v>
      </c>
      <c r="D17" s="49">
        <v>4049868</v>
      </c>
      <c r="E17" s="49">
        <v>4644739</v>
      </c>
      <c r="F17" s="49">
        <v>5353952</v>
      </c>
      <c r="G17" s="91">
        <f t="shared" ref="G17:K18" si="0">F17*(1+G42)</f>
        <v>6130275.04</v>
      </c>
      <c r="H17" s="91">
        <f t="shared" si="0"/>
        <v>6896559.4199999999</v>
      </c>
      <c r="I17" s="91">
        <f t="shared" si="0"/>
        <v>7689663.7533</v>
      </c>
      <c r="J17" s="91">
        <f t="shared" si="0"/>
        <v>8497078.4473965</v>
      </c>
      <c r="K17" s="91">
        <f t="shared" si="0"/>
        <v>9346786.2921361513</v>
      </c>
    </row>
    <row r="18" spans="3:14" ht="15.75" customHeight="1">
      <c r="C18" s="32" t="s">
        <v>63</v>
      </c>
      <c r="D18" s="49">
        <v>513416</v>
      </c>
      <c r="E18" s="49">
        <v>592422</v>
      </c>
      <c r="F18" s="49">
        <v>708560</v>
      </c>
      <c r="G18" s="91">
        <f t="shared" si="0"/>
        <v>829015.2</v>
      </c>
      <c r="H18" s="91">
        <f t="shared" si="0"/>
        <v>961657.63199999987</v>
      </c>
      <c r="I18" s="91">
        <f t="shared" si="0"/>
        <v>1110714.5649599999</v>
      </c>
      <c r="J18" s="91">
        <f t="shared" si="0"/>
        <v>1282875.3225288</v>
      </c>
      <c r="K18" s="91">
        <f t="shared" si="0"/>
        <v>1475306.6209081199</v>
      </c>
    </row>
    <row r="19" spans="3:14" ht="15.75" customHeight="1">
      <c r="C19" s="25" t="s">
        <v>65</v>
      </c>
      <c r="D19" s="49">
        <f t="shared" ref="D19:K19" si="1">D18+D17</f>
        <v>4563284</v>
      </c>
      <c r="E19" s="49">
        <f t="shared" si="1"/>
        <v>5237161</v>
      </c>
      <c r="F19" s="49">
        <f t="shared" si="1"/>
        <v>6062512</v>
      </c>
      <c r="G19" s="91">
        <f t="shared" si="1"/>
        <v>6959290.2400000002</v>
      </c>
      <c r="H19" s="91">
        <f t="shared" si="1"/>
        <v>7858217.0520000001</v>
      </c>
      <c r="I19" s="91">
        <f t="shared" si="1"/>
        <v>8800378.3182599992</v>
      </c>
      <c r="J19" s="91">
        <f t="shared" si="1"/>
        <v>9779953.7699253</v>
      </c>
      <c r="K19" s="91">
        <f t="shared" si="1"/>
        <v>10822092.913044272</v>
      </c>
    </row>
    <row r="20" spans="3:14" ht="15.75" customHeight="1">
      <c r="C20" t="s">
        <v>66</v>
      </c>
      <c r="D20" s="49">
        <v>-3927965</v>
      </c>
      <c r="E20" s="49">
        <v>-4483019</v>
      </c>
      <c r="F20" s="49">
        <v>-5165060</v>
      </c>
      <c r="G20" s="91">
        <f>G21-G19</f>
        <v>-5901478.1235199999</v>
      </c>
      <c r="H20" s="91">
        <f>H21-H19</f>
        <v>-6640193.4089400005</v>
      </c>
      <c r="I20" s="91">
        <f>I21-I19</f>
        <v>-7392317.7873383993</v>
      </c>
      <c r="J20" s="91">
        <f>J21-J19</f>
        <v>-8185821.3054274758</v>
      </c>
      <c r="K20" s="91">
        <f>K21-K19</f>
        <v>-9036447.5823919661</v>
      </c>
    </row>
    <row r="21" spans="3:14" ht="15.75" customHeight="1">
      <c r="C21" s="72" t="s">
        <v>67</v>
      </c>
      <c r="D21" s="98">
        <f>SUM(D19:D20)</f>
        <v>635319</v>
      </c>
      <c r="E21" s="98">
        <f>SUM(E19:E20)</f>
        <v>754142</v>
      </c>
      <c r="F21" s="98">
        <f>SUM(F19:F20)</f>
        <v>897452</v>
      </c>
      <c r="G21" s="102">
        <f>G19*G44</f>
        <v>1057812.1164800001</v>
      </c>
      <c r="H21" s="102">
        <f>H19*H44</f>
        <v>1218023.6430599999</v>
      </c>
      <c r="I21" s="102">
        <f>I19*I44</f>
        <v>1408060.5309215998</v>
      </c>
      <c r="J21" s="102">
        <f>J19*J44</f>
        <v>1594132.464497824</v>
      </c>
      <c r="K21" s="102">
        <f>K19*K44</f>
        <v>1785645.3306523049</v>
      </c>
    </row>
    <row r="22" spans="3:14" ht="15.75" customHeight="1">
      <c r="C22" t="s">
        <v>68</v>
      </c>
      <c r="D22" s="49">
        <v>-93681</v>
      </c>
      <c r="E22" s="49">
        <v>-95457</v>
      </c>
      <c r="F22" s="49">
        <v>-98681</v>
      </c>
      <c r="G22" s="49">
        <v>-91258</v>
      </c>
      <c r="H22" s="49">
        <v>-84535</v>
      </c>
      <c r="I22" s="49">
        <v>-85364</v>
      </c>
      <c r="J22" s="49">
        <v>-84976</v>
      </c>
      <c r="K22" s="49">
        <v>-87197</v>
      </c>
      <c r="M22" t="s">
        <v>384</v>
      </c>
    </row>
    <row r="23" spans="3:14" ht="15.75" customHeight="1">
      <c r="C23" t="s">
        <v>70</v>
      </c>
      <c r="D23" s="49">
        <v>-202766</v>
      </c>
      <c r="E23" s="49">
        <v>-254092</v>
      </c>
      <c r="F23" s="49">
        <v>-247703</v>
      </c>
      <c r="G23" s="91">
        <f>-G19*G45</f>
        <v>-285330.89984000003</v>
      </c>
      <c r="H23" s="91">
        <f>-H19*H45</f>
        <v>-314328.68208</v>
      </c>
      <c r="I23" s="91">
        <f>-I19*I45</f>
        <v>-343214.75441213994</v>
      </c>
      <c r="J23" s="91">
        <f>-J19*J45</f>
        <v>-371638.2432571614</v>
      </c>
      <c r="K23" s="91">
        <f>-K19*K45</f>
        <v>-400417.43778263807</v>
      </c>
    </row>
    <row r="24" spans="3:14" ht="15.75" customHeight="1">
      <c r="C24" t="s">
        <v>71</v>
      </c>
      <c r="D24" s="49">
        <v>-1514</v>
      </c>
      <c r="E24" s="49">
        <v>-1374</v>
      </c>
      <c r="F24" s="49">
        <v>0</v>
      </c>
      <c r="G24" s="91">
        <f>F24</f>
        <v>0</v>
      </c>
      <c r="H24" s="91">
        <f>G24</f>
        <v>0</v>
      </c>
      <c r="I24" s="91">
        <f>H24</f>
        <v>0</v>
      </c>
      <c r="J24" s="91">
        <f>I24</f>
        <v>0</v>
      </c>
      <c r="K24" s="91">
        <f>J24</f>
        <v>0</v>
      </c>
    </row>
    <row r="25" spans="3:14" ht="15.75" customHeight="1">
      <c r="C25" s="72" t="s">
        <v>72</v>
      </c>
      <c r="D25" s="98">
        <f t="shared" ref="D25:K25" si="2">SUM(D21:D24)</f>
        <v>337358</v>
      </c>
      <c r="E25" s="98">
        <f t="shared" si="2"/>
        <v>403219</v>
      </c>
      <c r="F25" s="98">
        <f t="shared" si="2"/>
        <v>551068</v>
      </c>
      <c r="G25" s="102">
        <f t="shared" si="2"/>
        <v>681223.21664</v>
      </c>
      <c r="H25" s="102">
        <f t="shared" si="2"/>
        <v>819159.96097999997</v>
      </c>
      <c r="I25" s="102">
        <f t="shared" si="2"/>
        <v>979481.77650945983</v>
      </c>
      <c r="J25" s="102">
        <f t="shared" si="2"/>
        <v>1137518.2212406625</v>
      </c>
      <c r="K25" s="102">
        <f t="shared" si="2"/>
        <v>1298030.8928696669</v>
      </c>
      <c r="M25" s="72"/>
    </row>
    <row r="26" spans="3:14" ht="15.75" customHeight="1">
      <c r="C26" t="s">
        <v>73</v>
      </c>
      <c r="D26" s="49">
        <v>0</v>
      </c>
      <c r="E26" s="49">
        <v>0</v>
      </c>
      <c r="F26" s="49">
        <v>0</v>
      </c>
      <c r="G26" s="91">
        <f ca="1">G180</f>
        <v>0</v>
      </c>
      <c r="H26" s="91">
        <f ca="1">H180</f>
        <v>0</v>
      </c>
      <c r="I26" s="91">
        <f ca="1">I180</f>
        <v>0</v>
      </c>
      <c r="J26" s="91">
        <f ca="1">J180</f>
        <v>0</v>
      </c>
      <c r="K26" s="91">
        <f ca="1">K180</f>
        <v>0</v>
      </c>
    </row>
    <row r="27" spans="3:14" ht="15.75" customHeight="1">
      <c r="C27" t="s">
        <v>74</v>
      </c>
      <c r="D27" s="49">
        <v>-309645</v>
      </c>
      <c r="E27" s="49">
        <v>-282507</v>
      </c>
      <c r="F27" s="49">
        <v>-174217</v>
      </c>
      <c r="G27" s="91">
        <f ca="1">G166</f>
        <v>-138781.62900000002</v>
      </c>
      <c r="H27" s="91">
        <f ca="1">H166</f>
        <v>-134154.65700000001</v>
      </c>
      <c r="I27" s="91">
        <f ca="1">I166</f>
        <v>-126377.685</v>
      </c>
      <c r="J27" s="91">
        <f ca="1">J166</f>
        <v>-117025.713</v>
      </c>
      <c r="K27" s="91">
        <f ca="1">K166</f>
        <v>-106098.74099999999</v>
      </c>
    </row>
    <row r="28" spans="3:14" ht="15.75" customHeight="1">
      <c r="C28" t="s">
        <v>76</v>
      </c>
      <c r="D28" s="49">
        <v>-19921</v>
      </c>
      <c r="E28" s="49">
        <v>-23700</v>
      </c>
      <c r="F28" s="49">
        <v>0</v>
      </c>
      <c r="G28" s="91">
        <f t="shared" ref="G28:K29" si="3">F28</f>
        <v>0</v>
      </c>
      <c r="H28" s="91">
        <f t="shared" si="3"/>
        <v>0</v>
      </c>
      <c r="I28" s="91">
        <f t="shared" si="3"/>
        <v>0</v>
      </c>
      <c r="J28" s="91">
        <f t="shared" si="3"/>
        <v>0</v>
      </c>
      <c r="K28" s="91">
        <f t="shared" si="3"/>
        <v>0</v>
      </c>
    </row>
    <row r="29" spans="3:14" ht="15.75" customHeight="1">
      <c r="C29" t="s">
        <v>77</v>
      </c>
      <c r="D29" s="49">
        <v>-6182</v>
      </c>
      <c r="E29" s="49">
        <v>-15255</v>
      </c>
      <c r="F29" s="49">
        <v>0</v>
      </c>
      <c r="G29" s="91">
        <f t="shared" si="3"/>
        <v>0</v>
      </c>
      <c r="H29" s="91">
        <f t="shared" si="3"/>
        <v>0</v>
      </c>
      <c r="I29" s="91">
        <f t="shared" si="3"/>
        <v>0</v>
      </c>
      <c r="J29" s="91">
        <f t="shared" si="3"/>
        <v>0</v>
      </c>
      <c r="K29" s="91">
        <f t="shared" si="3"/>
        <v>0</v>
      </c>
    </row>
    <row r="30" spans="3:14" ht="15.75" customHeight="1">
      <c r="C30" t="s">
        <v>78</v>
      </c>
      <c r="D30" s="49">
        <v>3509</v>
      </c>
      <c r="E30" s="49">
        <v>0</v>
      </c>
      <c r="F30" s="49">
        <v>0</v>
      </c>
      <c r="G30" s="91">
        <v>0</v>
      </c>
      <c r="H30" s="91">
        <v>0</v>
      </c>
      <c r="I30" s="91">
        <v>0</v>
      </c>
      <c r="J30" s="91">
        <v>0</v>
      </c>
      <c r="K30" s="91">
        <v>0</v>
      </c>
    </row>
    <row r="31" spans="3:14" ht="15.75" customHeight="1">
      <c r="C31" s="72" t="s">
        <v>79</v>
      </c>
      <c r="D31" s="98">
        <f t="shared" ref="D31:K31" si="4">SUM(D25:D30)</f>
        <v>5119</v>
      </c>
      <c r="E31" s="98">
        <f t="shared" si="4"/>
        <v>81757</v>
      </c>
      <c r="F31" s="98">
        <f t="shared" si="4"/>
        <v>376851</v>
      </c>
      <c r="G31" s="102">
        <f t="shared" ca="1" si="4"/>
        <v>542441.58764000004</v>
      </c>
      <c r="H31" s="102">
        <f t="shared" ca="1" si="4"/>
        <v>685005.30397999997</v>
      </c>
      <c r="I31" s="102">
        <f t="shared" ca="1" si="4"/>
        <v>853104.09150945977</v>
      </c>
      <c r="J31" s="102">
        <f t="shared" ca="1" si="4"/>
        <v>1020492.5082406625</v>
      </c>
      <c r="K31" s="102">
        <f t="shared" ca="1" si="4"/>
        <v>1191932.151869667</v>
      </c>
      <c r="M31" s="72"/>
      <c r="N31" s="72"/>
    </row>
    <row r="32" spans="3:14" ht="15.75" customHeight="1">
      <c r="C32" t="s">
        <v>80</v>
      </c>
      <c r="D32" s="49">
        <v>-40180</v>
      </c>
      <c r="E32" s="49">
        <v>-70783</v>
      </c>
      <c r="F32" s="49">
        <v>-99435</v>
      </c>
      <c r="G32" s="91">
        <f ca="1">-G31*G46</f>
        <v>-135610.39691000001</v>
      </c>
      <c r="H32" s="91">
        <f ca="1">-H31*H46</f>
        <v>-171251.32599499999</v>
      </c>
      <c r="I32" s="91">
        <f ca="1">-I31*I46</f>
        <v>-213276.02287736494</v>
      </c>
      <c r="J32" s="91">
        <f ca="1">-J31*J46</f>
        <v>-255123.12706016563</v>
      </c>
      <c r="K32" s="91">
        <f ca="1">-K31*K46</f>
        <v>-297983.03796741675</v>
      </c>
    </row>
    <row r="33" spans="2:15" ht="15.75" customHeight="1">
      <c r="C33" s="72" t="s">
        <v>81</v>
      </c>
      <c r="D33" s="98">
        <f t="shared" ref="D33:K33" si="5">SUM(D31:D32)</f>
        <v>-35061</v>
      </c>
      <c r="E33" s="98">
        <f t="shared" si="5"/>
        <v>10974</v>
      </c>
      <c r="F33" s="98">
        <f t="shared" si="5"/>
        <v>277416</v>
      </c>
      <c r="G33" s="102">
        <f t="shared" ca="1" si="5"/>
        <v>406831.19073000003</v>
      </c>
      <c r="H33" s="102">
        <f t="shared" ca="1" si="5"/>
        <v>513753.977985</v>
      </c>
      <c r="I33" s="102">
        <f t="shared" ca="1" si="5"/>
        <v>639828.06863209489</v>
      </c>
      <c r="J33" s="102">
        <f t="shared" ca="1" si="5"/>
        <v>765369.38118049689</v>
      </c>
      <c r="K33" s="102">
        <f t="shared" ca="1" si="5"/>
        <v>893949.1139022503</v>
      </c>
      <c r="M33" s="72"/>
    </row>
    <row r="34" spans="2:15" ht="15.75" customHeight="1">
      <c r="C34" s="44"/>
      <c r="D34" s="91"/>
      <c r="E34" s="91"/>
      <c r="F34" s="91"/>
      <c r="G34" s="91"/>
      <c r="H34" s="91"/>
      <c r="I34" s="91"/>
      <c r="J34" s="91"/>
      <c r="K34" s="91"/>
    </row>
    <row r="35" spans="2:15" ht="15.75" customHeight="1">
      <c r="C35" s="95" t="s">
        <v>82</v>
      </c>
      <c r="D35" s="49">
        <v>197104</v>
      </c>
      <c r="E35" s="49">
        <v>188164</v>
      </c>
      <c r="F35" s="49">
        <v>193664</v>
      </c>
      <c r="G35" s="91">
        <f>G136</f>
        <v>193053.32600611763</v>
      </c>
      <c r="H35" s="91">
        <f>H136</f>
        <v>194030.7667549029</v>
      </c>
      <c r="I35" s="91">
        <f>I136</f>
        <v>204169.20950052125</v>
      </c>
      <c r="J35" s="91">
        <f>J136</f>
        <v>214074.74759428744</v>
      </c>
      <c r="K35" s="91">
        <f>K136</f>
        <v>227765.23894484044</v>
      </c>
    </row>
    <row r="36" spans="2:15" ht="15.75" customHeight="1">
      <c r="C36" s="97" t="s">
        <v>83</v>
      </c>
      <c r="D36" s="98">
        <f t="shared" ref="D36:K36" si="6">D25+D35</f>
        <v>534462</v>
      </c>
      <c r="E36" s="98">
        <f t="shared" si="6"/>
        <v>591383</v>
      </c>
      <c r="F36" s="98">
        <f t="shared" si="6"/>
        <v>744732</v>
      </c>
      <c r="G36" s="102">
        <f t="shared" si="6"/>
        <v>874276.54264611762</v>
      </c>
      <c r="H36" s="102">
        <f t="shared" si="6"/>
        <v>1013190.7277349029</v>
      </c>
      <c r="I36" s="102">
        <f t="shared" si="6"/>
        <v>1183650.986009981</v>
      </c>
      <c r="J36" s="102">
        <f t="shared" si="6"/>
        <v>1351592.9688349499</v>
      </c>
      <c r="K36" s="102">
        <f t="shared" si="6"/>
        <v>1525796.1318145073</v>
      </c>
      <c r="M36" s="72"/>
    </row>
    <row r="37" spans="2:15" ht="15.75" customHeight="1">
      <c r="C37" s="95" t="s">
        <v>85</v>
      </c>
      <c r="D37" s="49">
        <v>0</v>
      </c>
      <c r="E37" s="49">
        <v>17376</v>
      </c>
      <c r="F37" s="49">
        <v>13237</v>
      </c>
      <c r="G37" s="49">
        <f>F37</f>
        <v>13237</v>
      </c>
      <c r="H37" s="49">
        <f>G37</f>
        <v>13237</v>
      </c>
      <c r="I37" s="49">
        <f>H37</f>
        <v>13237</v>
      </c>
      <c r="J37" s="49">
        <f>I37</f>
        <v>13237</v>
      </c>
      <c r="K37" s="49">
        <f>J37</f>
        <v>13237</v>
      </c>
    </row>
    <row r="38" spans="2:15" ht="15.75" customHeight="1">
      <c r="C38" s="97" t="s">
        <v>385</v>
      </c>
      <c r="D38" s="98">
        <f t="shared" ref="D38:K38" si="7">D36+D37</f>
        <v>534462</v>
      </c>
      <c r="E38" s="98">
        <f t="shared" si="7"/>
        <v>608759</v>
      </c>
      <c r="F38" s="98">
        <f t="shared" si="7"/>
        <v>757969</v>
      </c>
      <c r="G38" s="102">
        <f t="shared" si="7"/>
        <v>887513.54264611762</v>
      </c>
      <c r="H38" s="102">
        <f t="shared" si="7"/>
        <v>1026427.7277349029</v>
      </c>
      <c r="I38" s="102">
        <f t="shared" si="7"/>
        <v>1196887.986009981</v>
      </c>
      <c r="J38" s="102">
        <f t="shared" si="7"/>
        <v>1364829.9688349499</v>
      </c>
      <c r="K38" s="102">
        <f t="shared" si="7"/>
        <v>1539033.1318145073</v>
      </c>
      <c r="M38" s="72"/>
    </row>
    <row r="39" spans="2:15" ht="15.75" customHeight="1">
      <c r="C39" s="44"/>
      <c r="G39" s="294"/>
    </row>
    <row r="40" spans="2:15" ht="15.75" customHeight="1">
      <c r="C40" s="26" t="s">
        <v>21</v>
      </c>
    </row>
    <row r="41" spans="2:15" ht="15.75" customHeight="1">
      <c r="C41" s="44" t="s">
        <v>24</v>
      </c>
      <c r="D41" s="42"/>
      <c r="E41" s="42">
        <f t="shared" ref="E41:K41" si="8">(E19-D19)/D19</f>
        <v>0.14767369289310067</v>
      </c>
      <c r="F41" s="42">
        <f t="shared" si="8"/>
        <v>0.157595116896349</v>
      </c>
      <c r="G41" s="42">
        <f t="shared" si="8"/>
        <v>0.14792189112367946</v>
      </c>
      <c r="H41" s="42">
        <f t="shared" si="8"/>
        <v>0.12916932345100754</v>
      </c>
      <c r="I41" s="42">
        <f t="shared" si="8"/>
        <v>0.11989504235190461</v>
      </c>
      <c r="J41" s="42">
        <f t="shared" si="8"/>
        <v>0.1113106069125198</v>
      </c>
      <c r="K41" s="42">
        <f t="shared" si="8"/>
        <v>0.10655869829606893</v>
      </c>
      <c r="M41" t="s">
        <v>25</v>
      </c>
      <c r="O41" s="43"/>
    </row>
    <row r="42" spans="2:15" ht="15.75" customHeight="1">
      <c r="C42" s="293" t="s">
        <v>26</v>
      </c>
      <c r="D42" s="42"/>
      <c r="E42" s="42">
        <f>(E17-D17)/D17</f>
        <v>0.14688651580742879</v>
      </c>
      <c r="F42" s="42">
        <f>(F17-E17)/E17</f>
        <v>0.15269167976930459</v>
      </c>
      <c r="G42" s="43">
        <v>0.14499999999999999</v>
      </c>
      <c r="H42" s="43">
        <v>0.125</v>
      </c>
      <c r="I42" s="43">
        <v>0.115</v>
      </c>
      <c r="J42" s="43">
        <v>0.105</v>
      </c>
      <c r="K42" s="43">
        <v>0.1</v>
      </c>
      <c r="O42" s="43"/>
    </row>
    <row r="43" spans="2:15" ht="15.75" customHeight="1">
      <c r="C43" s="293" t="s">
        <v>29</v>
      </c>
      <c r="D43" s="42"/>
      <c r="E43" s="42">
        <f>(E18-D18)/D18</f>
        <v>0.15388301104757157</v>
      </c>
      <c r="F43" s="42">
        <f>(F18-E18)/E18</f>
        <v>0.19603930981631337</v>
      </c>
      <c r="G43" s="43">
        <v>0.17</v>
      </c>
      <c r="H43" s="43">
        <v>0.16</v>
      </c>
      <c r="I43" s="43">
        <v>0.155</v>
      </c>
      <c r="J43" s="43">
        <v>0.155</v>
      </c>
      <c r="K43" s="43">
        <v>0.15</v>
      </c>
      <c r="O43" s="43"/>
    </row>
    <row r="44" spans="2:15" ht="15.75" customHeight="1">
      <c r="C44" s="44" t="s">
        <v>32</v>
      </c>
      <c r="D44" s="42">
        <f>D21/D19</f>
        <v>0.13922407634501818</v>
      </c>
      <c r="E44" s="42">
        <f>E21/E19</f>
        <v>0.14399824637814265</v>
      </c>
      <c r="F44" s="42">
        <f>F21/F19</f>
        <v>0.14803302657380307</v>
      </c>
      <c r="G44" s="43">
        <v>0.152</v>
      </c>
      <c r="H44" s="43">
        <v>0.155</v>
      </c>
      <c r="I44" s="43">
        <v>0.16</v>
      </c>
      <c r="J44" s="43">
        <v>0.16300000000000001</v>
      </c>
      <c r="K44" s="43">
        <v>0.16500000000000001</v>
      </c>
      <c r="M44" t="s">
        <v>33</v>
      </c>
      <c r="O44" s="43"/>
    </row>
    <row r="45" spans="2:15" ht="15.75" customHeight="1">
      <c r="C45" s="44" t="s">
        <v>36</v>
      </c>
      <c r="D45" s="42">
        <f>-D23/D19</f>
        <v>4.4434227630802729E-2</v>
      </c>
      <c r="E45" s="42">
        <f>-E23/E19</f>
        <v>4.8517125977223158E-2</v>
      </c>
      <c r="F45" s="42">
        <f>-F23/F19</f>
        <v>4.0858145930267847E-2</v>
      </c>
      <c r="G45" s="43">
        <v>4.1000000000000002E-2</v>
      </c>
      <c r="H45" s="43">
        <v>0.04</v>
      </c>
      <c r="I45" s="43">
        <v>3.9E-2</v>
      </c>
      <c r="J45" s="43">
        <v>3.7999999999999999E-2</v>
      </c>
      <c r="K45" s="43">
        <v>3.6999999999999998E-2</v>
      </c>
      <c r="M45" t="s">
        <v>37</v>
      </c>
      <c r="O45" s="43"/>
    </row>
    <row r="46" spans="2:15" ht="15.75" customHeight="1">
      <c r="C46" s="44" t="s">
        <v>40</v>
      </c>
      <c r="D46" s="42">
        <f>-D32/D31</f>
        <v>7.8491892947841375</v>
      </c>
      <c r="E46" s="42">
        <f>-E32/E31</f>
        <v>0.86577296133664394</v>
      </c>
      <c r="F46" s="42">
        <f>-F32/F31</f>
        <v>0.26385759889186972</v>
      </c>
      <c r="G46" s="43">
        <v>0.25</v>
      </c>
      <c r="H46" s="43">
        <v>0.25</v>
      </c>
      <c r="I46" s="43">
        <v>0.25</v>
      </c>
      <c r="J46" s="43">
        <v>0.25</v>
      </c>
      <c r="K46" s="43">
        <v>0.25</v>
      </c>
      <c r="M46" t="s">
        <v>41</v>
      </c>
      <c r="O46" s="43"/>
    </row>
    <row r="47" spans="2:15" ht="15.75" customHeight="1">
      <c r="C47" s="44"/>
      <c r="G47" s="294"/>
    </row>
    <row r="48" spans="2:15" ht="15.75" customHeight="1">
      <c r="B48" t="s">
        <v>0</v>
      </c>
      <c r="C48" s="57" t="s">
        <v>97</v>
      </c>
      <c r="D48" s="31"/>
      <c r="E48" s="31"/>
      <c r="F48" s="31"/>
      <c r="G48" s="6"/>
      <c r="H48" s="6"/>
      <c r="I48" s="6"/>
      <c r="J48" s="6"/>
      <c r="K48" s="6"/>
    </row>
    <row r="49" spans="3:15" ht="15.75" customHeight="1">
      <c r="C49" s="79" t="str">
        <f t="shared" ref="C49:K49" si="9">C14</f>
        <v xml:space="preserve">Fiscal year  </v>
      </c>
      <c r="D49" s="80">
        <f t="shared" si="9"/>
        <v>2023</v>
      </c>
      <c r="E49" s="81">
        <f t="shared" si="9"/>
        <v>2024</v>
      </c>
      <c r="F49" s="81">
        <f t="shared" si="9"/>
        <v>2025</v>
      </c>
      <c r="G49" s="83">
        <f t="shared" si="9"/>
        <v>2026</v>
      </c>
      <c r="H49" s="83">
        <f t="shared" si="9"/>
        <v>2027</v>
      </c>
      <c r="I49" s="83">
        <f t="shared" si="9"/>
        <v>2028</v>
      </c>
      <c r="J49" s="83">
        <f t="shared" si="9"/>
        <v>2029</v>
      </c>
      <c r="K49" s="83">
        <f t="shared" si="9"/>
        <v>2030</v>
      </c>
    </row>
    <row r="50" spans="3:15" ht="15.75" customHeight="1">
      <c r="C50" s="6" t="str">
        <f t="shared" ref="C50:K50" si="10">C15</f>
        <v>Fiscal year end date</v>
      </c>
      <c r="D50" s="84">
        <f t="shared" si="10"/>
        <v>45291</v>
      </c>
      <c r="E50" s="85">
        <f t="shared" si="10"/>
        <v>45657</v>
      </c>
      <c r="F50" s="85">
        <f t="shared" si="10"/>
        <v>46022</v>
      </c>
      <c r="G50" s="85">
        <f t="shared" si="10"/>
        <v>46387</v>
      </c>
      <c r="H50" s="85">
        <f t="shared" si="10"/>
        <v>46752</v>
      </c>
      <c r="I50" s="85">
        <f t="shared" si="10"/>
        <v>47118</v>
      </c>
      <c r="J50" s="85">
        <f t="shared" si="10"/>
        <v>47483</v>
      </c>
      <c r="K50" s="85">
        <f t="shared" si="10"/>
        <v>47848</v>
      </c>
    </row>
    <row r="51" spans="3:15" ht="15.75" customHeight="1">
      <c r="C51" s="25" t="s">
        <v>99</v>
      </c>
      <c r="D51" s="86"/>
      <c r="E51" s="86"/>
      <c r="F51" s="86"/>
      <c r="G51" s="86"/>
      <c r="H51" s="86"/>
      <c r="I51" s="86"/>
      <c r="J51" s="86"/>
      <c r="K51" s="86"/>
    </row>
    <row r="52" spans="3:15" ht="15.75" customHeight="1">
      <c r="C52" s="25" t="s">
        <v>100</v>
      </c>
      <c r="D52" s="86"/>
      <c r="E52" s="86"/>
      <c r="F52" s="86"/>
      <c r="G52" s="86"/>
      <c r="H52" s="86"/>
      <c r="I52" s="86"/>
      <c r="J52" s="86"/>
      <c r="K52" s="86"/>
    </row>
    <row r="53" spans="3:15" ht="15.75" customHeight="1">
      <c r="C53" s="89" t="s">
        <v>101</v>
      </c>
      <c r="D53" s="49"/>
      <c r="E53" s="49">
        <v>102581</v>
      </c>
      <c r="F53" s="49">
        <v>289717</v>
      </c>
      <c r="G53" s="91">
        <f ca="1">F53+G120</f>
        <v>510509.29624840332</v>
      </c>
      <c r="H53" s="91">
        <f ca="1">G53+H120</f>
        <v>601495.8971248595</v>
      </c>
      <c r="I53" s="91">
        <f ca="1">H53+I120</f>
        <v>807010.34523822111</v>
      </c>
      <c r="J53" s="91">
        <f ca="1">I53+J120</f>
        <v>1051121.0334052108</v>
      </c>
      <c r="K53" s="91">
        <f ca="1">J53+K120</f>
        <v>1409408.5254472441</v>
      </c>
    </row>
    <row r="54" spans="3:15" ht="15.75" customHeight="1">
      <c r="C54" s="89" t="s">
        <v>102</v>
      </c>
      <c r="D54" s="49"/>
      <c r="E54" s="49">
        <v>580668</v>
      </c>
      <c r="F54" s="49">
        <v>654390</v>
      </c>
      <c r="G54" s="91">
        <f>F54*(1+G41)</f>
        <v>751188.60633242456</v>
      </c>
      <c r="H54" s="91">
        <f>G54*(1+H41)</f>
        <v>848219.13039648917</v>
      </c>
      <c r="I54" s="91">
        <f>H54*(1+I41)</f>
        <v>949916.39895907184</v>
      </c>
      <c r="J54" s="91">
        <f>I54*(1+J41)</f>
        <v>1055652.1698433615</v>
      </c>
      <c r="K54" s="91">
        <f>J54*(1+K41)</f>
        <v>1168141.0909152906</v>
      </c>
    </row>
    <row r="55" spans="3:15" ht="15.75" customHeight="1">
      <c r="C55" s="89" t="s">
        <v>103</v>
      </c>
      <c r="D55" s="49"/>
      <c r="E55" s="49">
        <v>915200</v>
      </c>
      <c r="F55" s="49">
        <v>1071703</v>
      </c>
      <c r="G55" s="91">
        <f>F55*(1+G41)</f>
        <v>1230231.3344829206</v>
      </c>
      <c r="H55" s="91">
        <f>G55*(1+H41)</f>
        <v>1389139.4836463097</v>
      </c>
      <c r="I55" s="91">
        <f>H55*(1+I41)</f>
        <v>1555690.4208707868</v>
      </c>
      <c r="J55" s="91">
        <f>I55*(1+J41)</f>
        <v>1728855.2657859074</v>
      </c>
      <c r="K55" s="91">
        <f>J55*(1+K41)</f>
        <v>1913079.832450358</v>
      </c>
    </row>
    <row r="56" spans="3:15" ht="15.75" customHeight="1">
      <c r="C56" s="89" t="s">
        <v>104</v>
      </c>
      <c r="D56" s="49"/>
      <c r="E56" s="49">
        <v>847018</v>
      </c>
      <c r="F56" s="49">
        <v>827691</v>
      </c>
      <c r="G56" s="91">
        <f>F56*(1+((G20-F20)/F20))</f>
        <v>945700.59777319001</v>
      </c>
      <c r="H56" s="91">
        <f>G56*(1+((H20-G20)/G20))</f>
        <v>1064078.3113533934</v>
      </c>
      <c r="I56" s="91">
        <f>H56*(1+((I20-H20)/H20))</f>
        <v>1184604.8064727045</v>
      </c>
      <c r="J56" s="91">
        <f>I56*(1+((J20-I20)/I20))</f>
        <v>1311762.2296954095</v>
      </c>
      <c r="K56" s="91">
        <f>J56*(1+((K20-J20)/J20))</f>
        <v>1448073.4659263566</v>
      </c>
    </row>
    <row r="57" spans="3:15" ht="15.75" customHeight="1">
      <c r="C57" s="89" t="s">
        <v>105</v>
      </c>
      <c r="D57" s="49"/>
      <c r="E57" s="49">
        <v>29707</v>
      </c>
      <c r="F57" s="49">
        <v>42776</v>
      </c>
      <c r="G57" s="91">
        <f>F57*(1+G41)</f>
        <v>49103.50681470651</v>
      </c>
      <c r="H57" s="91">
        <f>G57*(1+H41)</f>
        <v>55446.173569034094</v>
      </c>
      <c r="I57" s="91">
        <f>H57*(1+I41)</f>
        <v>62093.894897344486</v>
      </c>
      <c r="J57" s="91">
        <f>I57*(1+J41)</f>
        <v>69005.604023930122</v>
      </c>
      <c r="K57" s="91">
        <f>J57*(1+K41)</f>
        <v>76358.751363854084</v>
      </c>
    </row>
    <row r="58" spans="3:15" ht="15.75" customHeight="1">
      <c r="C58" s="89" t="s">
        <v>106</v>
      </c>
      <c r="D58" s="49"/>
      <c r="E58" s="49">
        <v>9960</v>
      </c>
      <c r="F58" s="49">
        <v>10182</v>
      </c>
      <c r="G58" s="91">
        <f>F58</f>
        <v>10182</v>
      </c>
      <c r="H58" s="91">
        <f>G58</f>
        <v>10182</v>
      </c>
      <c r="I58" s="91">
        <f>H58</f>
        <v>10182</v>
      </c>
      <c r="J58" s="91">
        <f>I58</f>
        <v>10182</v>
      </c>
      <c r="K58" s="91">
        <f>J58</f>
        <v>10182</v>
      </c>
    </row>
    <row r="59" spans="3:15" ht="15.75" customHeight="1">
      <c r="C59" s="93" t="s">
        <v>107</v>
      </c>
      <c r="D59" s="49"/>
      <c r="E59" s="98">
        <f t="shared" ref="E59:K59" si="11">SUM(E53:E58)</f>
        <v>2485134</v>
      </c>
      <c r="F59" s="98">
        <f t="shared" si="11"/>
        <v>2896459</v>
      </c>
      <c r="G59" s="98">
        <f t="shared" ca="1" si="11"/>
        <v>3496915.3416516455</v>
      </c>
      <c r="H59" s="98">
        <f t="shared" ca="1" si="11"/>
        <v>3968560.9960900862</v>
      </c>
      <c r="I59" s="98">
        <f t="shared" ca="1" si="11"/>
        <v>4569497.866438129</v>
      </c>
      <c r="J59" s="98">
        <f t="shared" ca="1" si="11"/>
        <v>5226578.3027538192</v>
      </c>
      <c r="K59" s="98">
        <f t="shared" ca="1" si="11"/>
        <v>6025243.6661031032</v>
      </c>
    </row>
    <row r="60" spans="3:15" ht="15.75" customHeight="1">
      <c r="C60" t="s">
        <v>108</v>
      </c>
      <c r="D60" s="49"/>
      <c r="E60" s="49">
        <v>568607</v>
      </c>
      <c r="F60" s="49">
        <v>579971</v>
      </c>
      <c r="G60" s="91">
        <f>G129</f>
        <v>602929.43782247358</v>
      </c>
      <c r="H60" s="91">
        <f>H129</f>
        <v>628853.4015259681</v>
      </c>
      <c r="I60" s="91">
        <f>I129</f>
        <v>657885.51995562238</v>
      </c>
      <c r="J60" s="91">
        <f>J129</f>
        <v>690149.22110763751</v>
      </c>
      <c r="K60" s="91">
        <f>K129</f>
        <v>725850.90025662479</v>
      </c>
      <c r="O60" s="91"/>
    </row>
    <row r="61" spans="3:15" ht="15.75" customHeight="1">
      <c r="C61" s="95" t="s">
        <v>109</v>
      </c>
      <c r="D61" s="49"/>
      <c r="E61" s="49">
        <v>172206</v>
      </c>
      <c r="F61" s="49">
        <v>222151</v>
      </c>
      <c r="G61" s="91">
        <f>F61</f>
        <v>222151</v>
      </c>
      <c r="H61" s="91">
        <f>G61</f>
        <v>222151</v>
      </c>
      <c r="I61" s="91">
        <f>H61</f>
        <v>222151</v>
      </c>
      <c r="J61" s="91">
        <f>I61</f>
        <v>222151</v>
      </c>
      <c r="K61" s="91">
        <f>J61</f>
        <v>222151</v>
      </c>
      <c r="O61" s="91"/>
    </row>
    <row r="62" spans="3:15" ht="15.75" customHeight="1">
      <c r="C62" s="95" t="s">
        <v>110</v>
      </c>
      <c r="D62" s="49"/>
      <c r="E62" s="49">
        <v>1004701</v>
      </c>
      <c r="F62" s="49">
        <v>920432</v>
      </c>
      <c r="G62" s="91">
        <f>F62+-77930</f>
        <v>842502</v>
      </c>
      <c r="H62" s="91">
        <f>G62+-42617</f>
        <v>799885</v>
      </c>
      <c r="I62" s="91">
        <f>H62+-42900</f>
        <v>756985</v>
      </c>
      <c r="J62" s="91">
        <f>I62+-32786</f>
        <v>724199</v>
      </c>
      <c r="K62" s="91">
        <f>J62+-34690</f>
        <v>689509</v>
      </c>
      <c r="O62" s="91"/>
    </row>
    <row r="63" spans="3:15" ht="15.75" customHeight="1">
      <c r="C63" s="95" t="s">
        <v>112</v>
      </c>
      <c r="D63" s="49"/>
      <c r="E63" s="49">
        <v>291487</v>
      </c>
      <c r="F63" s="49">
        <v>244877</v>
      </c>
      <c r="G63" s="91">
        <f>F63+-16493</f>
        <v>228384</v>
      </c>
      <c r="H63" s="91">
        <f>G63+-13531</f>
        <v>214853</v>
      </c>
      <c r="I63" s="91">
        <f>H63+-13689</f>
        <v>201164</v>
      </c>
      <c r="J63" s="91">
        <f>I63+-13626</f>
        <v>187538</v>
      </c>
      <c r="K63" s="91">
        <f>J63+-14686</f>
        <v>172852</v>
      </c>
    </row>
    <row r="64" spans="3:15" ht="15.75" customHeight="1">
      <c r="C64" s="95" t="s">
        <v>114</v>
      </c>
      <c r="D64" s="49"/>
      <c r="E64" s="49">
        <v>1685970</v>
      </c>
      <c r="F64" s="49">
        <v>1684255</v>
      </c>
      <c r="G64" s="91">
        <f>F64</f>
        <v>1684255</v>
      </c>
      <c r="H64" s="91">
        <f>G64+45000</f>
        <v>1729255</v>
      </c>
      <c r="I64" s="91">
        <f>H64+45000</f>
        <v>1774255</v>
      </c>
      <c r="J64" s="91">
        <f>I64+60000</f>
        <v>1834255</v>
      </c>
      <c r="K64" s="91">
        <f>J64+60000</f>
        <v>1894255</v>
      </c>
      <c r="M64" t="s">
        <v>383</v>
      </c>
    </row>
    <row r="65" spans="3:11" ht="15.75" customHeight="1">
      <c r="C65" s="95" t="s">
        <v>116</v>
      </c>
      <c r="D65" s="49"/>
      <c r="E65" s="49">
        <v>1079</v>
      </c>
      <c r="F65" s="49">
        <v>2832</v>
      </c>
      <c r="G65" s="91">
        <f>F65</f>
        <v>2832</v>
      </c>
      <c r="H65" s="91">
        <f>G65</f>
        <v>2832</v>
      </c>
      <c r="I65" s="91">
        <f>H65</f>
        <v>2832</v>
      </c>
      <c r="J65" s="91">
        <f>I65</f>
        <v>2832</v>
      </c>
      <c r="K65" s="91">
        <f>J65</f>
        <v>2832</v>
      </c>
    </row>
    <row r="66" spans="3:11" ht="15.75" customHeight="1">
      <c r="C66" t="s">
        <v>117</v>
      </c>
      <c r="D66" s="49"/>
      <c r="E66" s="49">
        <v>4417</v>
      </c>
      <c r="F66" s="49">
        <v>6434</v>
      </c>
      <c r="G66" s="91">
        <f>F66*(1+G41)</f>
        <v>7385.7294474897535</v>
      </c>
      <c r="H66" s="91">
        <f>G66*(1+H41)</f>
        <v>8339.7391234141887</v>
      </c>
      <c r="I66" s="91">
        <f>H66*(1+I41)</f>
        <v>9339.6324988197684</v>
      </c>
      <c r="J66" s="91">
        <f>I66*(1+J41)</f>
        <v>10379.232660603291</v>
      </c>
      <c r="K66" s="91">
        <f>J66*(1+K41)</f>
        <v>11485.230182229221</v>
      </c>
    </row>
    <row r="67" spans="3:11" ht="15.75" customHeight="1">
      <c r="C67" s="97" t="s">
        <v>118</v>
      </c>
      <c r="D67" s="98"/>
      <c r="E67" s="98">
        <f t="shared" ref="E67:K67" si="12">SUM(E59:E66)</f>
        <v>6213601</v>
      </c>
      <c r="F67" s="98">
        <f t="shared" si="12"/>
        <v>6557411</v>
      </c>
      <c r="G67" s="98">
        <f t="shared" ca="1" si="12"/>
        <v>7087354.5089216083</v>
      </c>
      <c r="H67" s="98">
        <f t="shared" ca="1" si="12"/>
        <v>7574730.1367394682</v>
      </c>
      <c r="I67" s="98">
        <f t="shared" ca="1" si="12"/>
        <v>8194110.0188925704</v>
      </c>
      <c r="J67" s="98">
        <f t="shared" ca="1" si="12"/>
        <v>8898081.7565220594</v>
      </c>
      <c r="K67" s="98">
        <f t="shared" ca="1" si="12"/>
        <v>9744178.7965419572</v>
      </c>
    </row>
    <row r="68" spans="3:11" ht="15.75" customHeight="1">
      <c r="C68" s="74" t="s">
        <v>119</v>
      </c>
      <c r="D68" s="91"/>
      <c r="G68" s="91"/>
      <c r="H68" s="91"/>
      <c r="I68" s="91"/>
      <c r="J68" s="91"/>
      <c r="K68" s="91"/>
    </row>
    <row r="69" spans="3:11" ht="15.75" customHeight="1">
      <c r="C69" s="74" t="s">
        <v>120</v>
      </c>
      <c r="D69" s="91"/>
      <c r="G69" s="91"/>
      <c r="H69" s="91"/>
      <c r="I69" s="91"/>
      <c r="J69" s="91"/>
      <c r="K69" s="91"/>
    </row>
    <row r="70" spans="3:11" ht="15.75" customHeight="1">
      <c r="C70" s="89" t="s">
        <v>121</v>
      </c>
      <c r="D70" s="49"/>
      <c r="E70" s="49">
        <v>645701</v>
      </c>
      <c r="F70" s="49">
        <v>679772</v>
      </c>
      <c r="G70" s="91">
        <f>F70*(1+(G20-F20)/F20)</f>
        <v>776691.76872706949</v>
      </c>
      <c r="H70" s="91">
        <f>G70*(1+(H20-G20)/G20)</f>
        <v>873913.86624394718</v>
      </c>
      <c r="I70" s="91">
        <f>H70*(1+(I20-H20)/H20)</f>
        <v>972900.73047255957</v>
      </c>
      <c r="J70" s="91">
        <f>I70*(1+(J20-I20)/I20)</f>
        <v>1077333.4908854971</v>
      </c>
      <c r="K70" s="91">
        <f>J70*(1+(K20-J20)/J20)</f>
        <v>1189284.1604894716</v>
      </c>
    </row>
    <row r="71" spans="3:11" ht="15.75" customHeight="1">
      <c r="C71" s="89" t="s">
        <v>122</v>
      </c>
      <c r="D71" s="49"/>
      <c r="E71" s="49">
        <v>99572</v>
      </c>
      <c r="F71" s="49">
        <v>91499</v>
      </c>
      <c r="G71" s="91">
        <f>F71*(1+G41)</f>
        <v>105033.70511592555</v>
      </c>
      <c r="H71" s="91">
        <f>G71*(1+H41)</f>
        <v>118600.83774530228</v>
      </c>
      <c r="I71" s="91">
        <f>H71*(1+I41)</f>
        <v>132820.49020974667</v>
      </c>
      <c r="J71" s="91">
        <f>I71*(1+J41)</f>
        <v>147604.81958541195</v>
      </c>
      <c r="K71" s="91">
        <f>J71*(1+K41)</f>
        <v>163333.39702265954</v>
      </c>
    </row>
    <row r="72" spans="3:11" ht="15.75" customHeight="1">
      <c r="C72" s="89" t="s">
        <v>123</v>
      </c>
      <c r="D72" s="49"/>
      <c r="E72" s="49">
        <v>79134</v>
      </c>
      <c r="F72" s="49">
        <v>74008</v>
      </c>
      <c r="G72" s="91">
        <f>F72*(1+G41)</f>
        <v>84955.403318281271</v>
      </c>
      <c r="H72" s="91">
        <f>G72*(1+H41)</f>
        <v>95929.035288411149</v>
      </c>
      <c r="I72" s="91">
        <f>H72*(1+I41)</f>
        <v>107430.45103709254</v>
      </c>
      <c r="J72" s="91">
        <f>I72*(1+J41)</f>
        <v>119388.59974291705</v>
      </c>
      <c r="K72" s="91">
        <f>J72*(1+K41)</f>
        <v>132110.49352291267</v>
      </c>
    </row>
    <row r="73" spans="3:11" ht="15.75" customHeight="1">
      <c r="C73" s="89" t="s">
        <v>124</v>
      </c>
      <c r="D73" s="49"/>
      <c r="E73" s="49">
        <v>17663</v>
      </c>
      <c r="F73" s="49">
        <v>22308</v>
      </c>
      <c r="G73" s="91">
        <f t="shared" ref="G73:K74" si="13">F73</f>
        <v>22308</v>
      </c>
      <c r="H73" s="91">
        <f t="shared" si="13"/>
        <v>22308</v>
      </c>
      <c r="I73" s="91">
        <f t="shared" si="13"/>
        <v>22308</v>
      </c>
      <c r="J73" s="91">
        <f t="shared" si="13"/>
        <v>22308</v>
      </c>
      <c r="K73" s="91">
        <f t="shared" si="13"/>
        <v>22308</v>
      </c>
    </row>
    <row r="74" spans="3:11" ht="15.75" customHeight="1">
      <c r="C74" s="89" t="s">
        <v>125</v>
      </c>
      <c r="D74" s="49"/>
      <c r="E74" s="49">
        <v>1345</v>
      </c>
      <c r="F74" s="49">
        <v>438</v>
      </c>
      <c r="G74" s="91">
        <f t="shared" si="13"/>
        <v>438</v>
      </c>
      <c r="H74" s="91">
        <f t="shared" si="13"/>
        <v>438</v>
      </c>
      <c r="I74" s="91">
        <f t="shared" si="13"/>
        <v>438</v>
      </c>
      <c r="J74" s="91">
        <f t="shared" si="13"/>
        <v>438</v>
      </c>
      <c r="K74" s="91">
        <f t="shared" si="13"/>
        <v>438</v>
      </c>
    </row>
    <row r="75" spans="3:11" ht="15.75" customHeight="1">
      <c r="C75" s="89" t="s">
        <v>126</v>
      </c>
      <c r="D75" s="49"/>
      <c r="E75" s="49">
        <v>400025</v>
      </c>
      <c r="F75" s="49">
        <v>411321</v>
      </c>
      <c r="G75" s="91">
        <f>F75*(1+G41)</f>
        <v>472164.38017888297</v>
      </c>
      <c r="H75" s="91">
        <f>G75*(1+H41)</f>
        <v>533153.53372425365</v>
      </c>
      <c r="I75" s="91">
        <f>H75*(1+I41)</f>
        <v>597075.99923019065</v>
      </c>
      <c r="J75" s="91">
        <f>I75*(1+J41)</f>
        <v>663536.8910774024</v>
      </c>
      <c r="K75" s="91">
        <f>J75*(1+K41)</f>
        <v>734242.5184620308</v>
      </c>
    </row>
    <row r="76" spans="3:11" ht="15.75" customHeight="1">
      <c r="C76" s="89" t="s">
        <v>127</v>
      </c>
      <c r="D76" s="49"/>
      <c r="E76" s="49">
        <v>6655</v>
      </c>
      <c r="F76" s="49">
        <v>13547</v>
      </c>
      <c r="G76" s="91">
        <f t="shared" ref="G76:K77" si="14">F76</f>
        <v>13547</v>
      </c>
      <c r="H76" s="91">
        <f t="shared" si="14"/>
        <v>13547</v>
      </c>
      <c r="I76" s="91">
        <f t="shared" si="14"/>
        <v>13547</v>
      </c>
      <c r="J76" s="91">
        <f t="shared" si="14"/>
        <v>13547</v>
      </c>
      <c r="K76" s="91">
        <f t="shared" si="14"/>
        <v>13547</v>
      </c>
    </row>
    <row r="77" spans="3:11" ht="15.75" customHeight="1">
      <c r="C77" s="89" t="s">
        <v>128</v>
      </c>
      <c r="D77" s="49"/>
      <c r="E77" s="49">
        <v>23449</v>
      </c>
      <c r="F77" s="49">
        <v>23444</v>
      </c>
      <c r="G77" s="91">
        <f t="shared" si="14"/>
        <v>23444</v>
      </c>
      <c r="H77" s="91">
        <f t="shared" si="14"/>
        <v>23444</v>
      </c>
      <c r="I77" s="91">
        <f t="shared" si="14"/>
        <v>23444</v>
      </c>
      <c r="J77" s="91">
        <f t="shared" si="14"/>
        <v>23444</v>
      </c>
      <c r="K77" s="91">
        <f t="shared" si="14"/>
        <v>23444</v>
      </c>
    </row>
    <row r="78" spans="3:11" ht="15.75" customHeight="1">
      <c r="C78" s="93" t="s">
        <v>130</v>
      </c>
      <c r="D78" s="49"/>
      <c r="E78" s="98">
        <f t="shared" ref="E78:K78" si="15">SUM(E70:E77)</f>
        <v>1273544</v>
      </c>
      <c r="F78" s="98">
        <f t="shared" si="15"/>
        <v>1316337</v>
      </c>
      <c r="G78" s="98">
        <f t="shared" si="15"/>
        <v>1498582.2573401593</v>
      </c>
      <c r="H78" s="98">
        <f t="shared" si="15"/>
        <v>1681334.2730019144</v>
      </c>
      <c r="I78" s="98">
        <f t="shared" si="15"/>
        <v>1869964.6709495895</v>
      </c>
      <c r="J78" s="98">
        <f t="shared" si="15"/>
        <v>2067600.8012912287</v>
      </c>
      <c r="K78" s="98">
        <f t="shared" si="15"/>
        <v>2278707.5694970745</v>
      </c>
    </row>
    <row r="79" spans="3:11" ht="16.5" customHeight="1">
      <c r="C79" s="95" t="s">
        <v>131</v>
      </c>
      <c r="D79" s="49"/>
      <c r="E79" s="49">
        <v>2207977</v>
      </c>
      <c r="F79" s="49">
        <v>2191161</v>
      </c>
      <c r="G79" s="91">
        <f ca="1">F79-F77+G159+G119</f>
        <v>2167717</v>
      </c>
      <c r="H79" s="91">
        <f ca="1">G79-G77+H159-G159+H119</f>
        <v>2044273</v>
      </c>
      <c r="I79" s="91">
        <f ca="1">H79-H77+I159-H159+I119</f>
        <v>1920829</v>
      </c>
      <c r="J79" s="91">
        <f ca="1">I79-I77+J159-I159+J119</f>
        <v>1747385</v>
      </c>
      <c r="K79" s="91">
        <f ca="1">J79-J77+K159-J159+K119</f>
        <v>1573941</v>
      </c>
    </row>
    <row r="80" spans="3:11" ht="15.75" customHeight="1">
      <c r="C80" s="95" t="s">
        <v>133</v>
      </c>
      <c r="D80" s="49"/>
      <c r="E80" s="49">
        <v>164224</v>
      </c>
      <c r="F80" s="49">
        <v>212365</v>
      </c>
      <c r="G80" s="91">
        <f t="shared" ref="G80:K82" si="16">F80</f>
        <v>212365</v>
      </c>
      <c r="H80" s="91">
        <f t="shared" si="16"/>
        <v>212365</v>
      </c>
      <c r="I80" s="91">
        <f t="shared" si="16"/>
        <v>212365</v>
      </c>
      <c r="J80" s="91">
        <f t="shared" si="16"/>
        <v>212365</v>
      </c>
      <c r="K80" s="91">
        <f t="shared" si="16"/>
        <v>212365</v>
      </c>
    </row>
    <row r="81" spans="3:11" ht="15.75" customHeight="1">
      <c r="C81" s="95" t="s">
        <v>134</v>
      </c>
      <c r="D81" s="49"/>
      <c r="E81" s="49">
        <v>169824</v>
      </c>
      <c r="F81" s="49">
        <v>157206</v>
      </c>
      <c r="G81" s="91">
        <f t="shared" si="16"/>
        <v>157206</v>
      </c>
      <c r="H81" s="91">
        <f t="shared" si="16"/>
        <v>157206</v>
      </c>
      <c r="I81" s="91">
        <f t="shared" si="16"/>
        <v>157206</v>
      </c>
      <c r="J81" s="91">
        <f t="shared" si="16"/>
        <v>157206</v>
      </c>
      <c r="K81" s="91">
        <f t="shared" si="16"/>
        <v>157206</v>
      </c>
    </row>
    <row r="82" spans="3:11" ht="15.75" customHeight="1">
      <c r="C82" s="95" t="s">
        <v>135</v>
      </c>
      <c r="D82" s="49"/>
      <c r="E82" s="49">
        <v>0</v>
      </c>
      <c r="F82" s="49">
        <v>5770</v>
      </c>
      <c r="G82" s="91">
        <f t="shared" si="16"/>
        <v>5770</v>
      </c>
      <c r="H82" s="91">
        <f t="shared" si="16"/>
        <v>5770</v>
      </c>
      <c r="I82" s="91">
        <f t="shared" si="16"/>
        <v>5770</v>
      </c>
      <c r="J82" s="91">
        <f t="shared" si="16"/>
        <v>5770</v>
      </c>
      <c r="K82" s="91">
        <f t="shared" si="16"/>
        <v>5770</v>
      </c>
    </row>
    <row r="83" spans="3:11" ht="15.75" customHeight="1">
      <c r="C83" s="95" t="s">
        <v>136</v>
      </c>
      <c r="D83" s="49"/>
      <c r="E83" s="49">
        <v>24628</v>
      </c>
      <c r="F83" s="49">
        <v>7261</v>
      </c>
      <c r="G83" s="91">
        <f>F83*(1+G41)</f>
        <v>8335.0608514490359</v>
      </c>
      <c r="H83" s="91">
        <f>G83*(1+H41)</f>
        <v>9411.6950225536875</v>
      </c>
      <c r="I83" s="91">
        <f>H83*(1+I41)</f>
        <v>10540.110595885972</v>
      </c>
      <c r="J83" s="91">
        <f>I83*(1+J41)</f>
        <v>11713.33670323912</v>
      </c>
      <c r="K83" s="91">
        <f>J83*(1+K41)</f>
        <v>12961.494615039848</v>
      </c>
    </row>
    <row r="84" spans="3:11" ht="15.75" customHeight="1">
      <c r="C84" s="97" t="s">
        <v>137</v>
      </c>
      <c r="D84" s="98"/>
      <c r="E84" s="98">
        <f t="shared" ref="E84:K84" si="17">SUM(E78:E83)</f>
        <v>3840197</v>
      </c>
      <c r="F84" s="98">
        <f t="shared" si="17"/>
        <v>3890100</v>
      </c>
      <c r="G84" s="98">
        <f t="shared" ca="1" si="17"/>
        <v>4049975.3181916084</v>
      </c>
      <c r="H84" s="98">
        <f t="shared" ca="1" si="17"/>
        <v>4110359.968024468</v>
      </c>
      <c r="I84" s="98">
        <f t="shared" ca="1" si="17"/>
        <v>4176674.7815454756</v>
      </c>
      <c r="J84" s="98">
        <f t="shared" ca="1" si="17"/>
        <v>4202040.1379944682</v>
      </c>
      <c r="K84" s="98">
        <f t="shared" ca="1" si="17"/>
        <v>4240951.0641121147</v>
      </c>
    </row>
    <row r="85" spans="3:11" ht="15.75" customHeight="1">
      <c r="C85" s="97" t="s">
        <v>337</v>
      </c>
      <c r="D85" s="98"/>
      <c r="E85" s="49">
        <v>0</v>
      </c>
      <c r="F85" s="49">
        <v>0</v>
      </c>
      <c r="G85" s="102">
        <v>0</v>
      </c>
      <c r="H85" s="102">
        <v>0</v>
      </c>
      <c r="I85" s="102">
        <v>0</v>
      </c>
      <c r="J85" s="102">
        <v>0</v>
      </c>
      <c r="K85" s="102">
        <v>0</v>
      </c>
    </row>
    <row r="86" spans="3:11" ht="16.5" customHeight="1">
      <c r="C86" s="97" t="s">
        <v>139</v>
      </c>
      <c r="D86" s="98"/>
      <c r="E86" s="98"/>
      <c r="F86" s="98"/>
      <c r="G86" s="91"/>
      <c r="H86" s="91"/>
      <c r="I86" s="91"/>
      <c r="J86" s="91"/>
      <c r="K86" s="91"/>
    </row>
    <row r="87" spans="3:11" ht="15.75" customHeight="1">
      <c r="C87" s="89" t="s">
        <v>140</v>
      </c>
      <c r="D87" s="49"/>
      <c r="E87" s="49">
        <v>3345</v>
      </c>
      <c r="F87" s="49">
        <v>3345</v>
      </c>
      <c r="G87" s="91">
        <f>F87</f>
        <v>3345</v>
      </c>
      <c r="H87" s="91">
        <f>G87</f>
        <v>3345</v>
      </c>
      <c r="I87" s="91">
        <f>H87</f>
        <v>3345</v>
      </c>
      <c r="J87" s="91">
        <f>I87</f>
        <v>3345</v>
      </c>
      <c r="K87" s="91">
        <f>J87</f>
        <v>3345</v>
      </c>
    </row>
    <row r="88" spans="3:11" ht="15.75" customHeight="1">
      <c r="C88" s="89" t="s">
        <v>141</v>
      </c>
      <c r="D88" s="49"/>
      <c r="E88" s="49">
        <v>0</v>
      </c>
      <c r="F88" s="49">
        <v>0</v>
      </c>
      <c r="G88" s="91">
        <v>0</v>
      </c>
      <c r="H88" s="91">
        <v>0</v>
      </c>
      <c r="I88" s="91">
        <v>0</v>
      </c>
      <c r="J88" s="91">
        <v>0</v>
      </c>
      <c r="K88" s="91">
        <v>0</v>
      </c>
    </row>
    <row r="89" spans="3:11" ht="15.75" customHeight="1">
      <c r="C89" s="89" t="s">
        <v>379</v>
      </c>
      <c r="D89" s="49"/>
      <c r="E89" s="49">
        <v>3944802</v>
      </c>
      <c r="F89" s="49">
        <v>3958039</v>
      </c>
      <c r="G89" s="91">
        <f>F89+G37</f>
        <v>3971276</v>
      </c>
      <c r="H89" s="91">
        <f>G89+H37</f>
        <v>3984513</v>
      </c>
      <c r="I89" s="91">
        <f>H89+I37</f>
        <v>3997750</v>
      </c>
      <c r="J89" s="91">
        <f>I89+J37</f>
        <v>4010987</v>
      </c>
      <c r="K89" s="91">
        <f>J89+K37</f>
        <v>4024224</v>
      </c>
    </row>
    <row r="90" spans="3:11" ht="15.75" customHeight="1">
      <c r="C90" s="89" t="s">
        <v>143</v>
      </c>
      <c r="D90" s="49"/>
      <c r="E90" s="49">
        <v>-1563321</v>
      </c>
      <c r="F90" s="49">
        <v>-1285904</v>
      </c>
      <c r="G90" s="91">
        <f ca="1">F90+G33</f>
        <v>-879072.80926999997</v>
      </c>
      <c r="H90" s="91">
        <f ca="1">G90+H33</f>
        <v>-365318.83128499996</v>
      </c>
      <c r="I90" s="91">
        <f ca="1">H90+I33</f>
        <v>274509.23734709492</v>
      </c>
      <c r="J90" s="91">
        <f ca="1">I90+J33</f>
        <v>1039878.6185275918</v>
      </c>
      <c r="K90" s="91">
        <f ca="1">J90+K33</f>
        <v>1933827.732429842</v>
      </c>
    </row>
    <row r="91" spans="3:11" ht="15.75" customHeight="1">
      <c r="C91" s="89" t="s">
        <v>144</v>
      </c>
      <c r="D91" s="101"/>
      <c r="E91" s="49">
        <v>-11422</v>
      </c>
      <c r="F91" s="49">
        <v>-8169</v>
      </c>
      <c r="G91" s="91">
        <f>F91</f>
        <v>-8169</v>
      </c>
      <c r="H91" s="91">
        <f>G91</f>
        <v>-8169</v>
      </c>
      <c r="I91" s="91">
        <f>H91</f>
        <v>-8169</v>
      </c>
      <c r="J91" s="91">
        <f>I91</f>
        <v>-8169</v>
      </c>
      <c r="K91" s="91">
        <f>J91</f>
        <v>-8169</v>
      </c>
    </row>
    <row r="92" spans="3:11" ht="15.75" customHeight="1">
      <c r="C92" s="89" t="s">
        <v>145</v>
      </c>
      <c r="D92" s="49"/>
      <c r="E92" s="49">
        <v>0</v>
      </c>
      <c r="F92" s="49">
        <v>0</v>
      </c>
      <c r="G92" s="91">
        <f>F92+G116</f>
        <v>-50000</v>
      </c>
      <c r="H92" s="91">
        <f>G92+H116</f>
        <v>-150000</v>
      </c>
      <c r="I92" s="91">
        <f>H92+I116</f>
        <v>-250000</v>
      </c>
      <c r="J92" s="91">
        <f>I92+J116</f>
        <v>-350000</v>
      </c>
      <c r="K92" s="91">
        <f>J92+K116</f>
        <v>-450000</v>
      </c>
    </row>
    <row r="93" spans="3:11" ht="15.75" customHeight="1">
      <c r="C93" s="93" t="s">
        <v>146</v>
      </c>
      <c r="D93" s="102"/>
      <c r="E93" s="102">
        <f t="shared" ref="E93:K93" si="18">SUM(E87:E92)</f>
        <v>2373404</v>
      </c>
      <c r="F93" s="102">
        <f t="shared" si="18"/>
        <v>2667311</v>
      </c>
      <c r="G93" s="102">
        <f t="shared" ca="1" si="18"/>
        <v>3037379.1907299999</v>
      </c>
      <c r="H93" s="102">
        <f t="shared" ca="1" si="18"/>
        <v>3464370.1687150002</v>
      </c>
      <c r="I93" s="102">
        <f t="shared" ca="1" si="18"/>
        <v>4017435.2373470953</v>
      </c>
      <c r="J93" s="102">
        <f t="shared" ca="1" si="18"/>
        <v>4696041.6185275922</v>
      </c>
      <c r="K93" s="102">
        <f t="shared" ca="1" si="18"/>
        <v>5503227.7324298415</v>
      </c>
    </row>
    <row r="94" spans="3:11" ht="15.75" customHeight="1">
      <c r="C94" s="97" t="s">
        <v>147</v>
      </c>
      <c r="D94" s="91"/>
      <c r="E94" s="91">
        <f t="shared" ref="E94:K94" si="19">SUM(E93,E84)</f>
        <v>6213601</v>
      </c>
      <c r="F94" s="91">
        <f t="shared" si="19"/>
        <v>6557411</v>
      </c>
      <c r="G94" s="91">
        <f t="shared" ca="1" si="19"/>
        <v>7087354.5089216083</v>
      </c>
      <c r="H94" s="91">
        <f t="shared" ca="1" si="19"/>
        <v>7574730.1367394682</v>
      </c>
      <c r="I94" s="91">
        <f t="shared" ca="1" si="19"/>
        <v>8194110.0188925713</v>
      </c>
      <c r="J94" s="91">
        <f t="shared" ca="1" si="19"/>
        <v>8898081.7565220594</v>
      </c>
      <c r="K94" s="91">
        <f t="shared" ca="1" si="19"/>
        <v>9744178.7965419553</v>
      </c>
    </row>
    <row r="95" spans="3:11" ht="15.75" customHeight="1">
      <c r="C95" s="97"/>
      <c r="D95" s="91"/>
      <c r="E95" s="91"/>
      <c r="F95" s="91"/>
    </row>
    <row r="96" spans="3:11" ht="15.75" customHeight="1">
      <c r="C96" s="60" t="s">
        <v>148</v>
      </c>
      <c r="D96" s="103"/>
      <c r="E96" s="103">
        <f t="shared" ref="E96:K96" si="20">E67-E94</f>
        <v>0</v>
      </c>
      <c r="F96" s="103">
        <f t="shared" si="20"/>
        <v>0</v>
      </c>
      <c r="G96" s="103">
        <f t="shared" ca="1" si="20"/>
        <v>0</v>
      </c>
      <c r="H96" s="103">
        <f t="shared" ca="1" si="20"/>
        <v>0</v>
      </c>
      <c r="I96" s="103">
        <f t="shared" ca="1" si="20"/>
        <v>0</v>
      </c>
      <c r="J96" s="103">
        <f t="shared" ca="1" si="20"/>
        <v>0</v>
      </c>
      <c r="K96" s="103">
        <f t="shared" ca="1" si="20"/>
        <v>0</v>
      </c>
    </row>
    <row r="97" spans="2:13" ht="15.75" customHeight="1">
      <c r="E97" s="91"/>
      <c r="F97" s="91"/>
      <c r="H97" s="91"/>
      <c r="I97" s="91"/>
      <c r="J97" s="91"/>
      <c r="K97" s="91"/>
    </row>
    <row r="98" spans="2:13" ht="15.75" customHeight="1">
      <c r="B98" t="s">
        <v>0</v>
      </c>
      <c r="C98" s="57" t="s">
        <v>149</v>
      </c>
      <c r="D98" s="31"/>
      <c r="E98" s="31"/>
      <c r="F98" s="31"/>
      <c r="G98" s="31"/>
      <c r="H98" s="31"/>
      <c r="I98" s="31"/>
      <c r="J98" s="31"/>
      <c r="K98" s="31"/>
    </row>
    <row r="99" spans="2:13" ht="15.75" customHeight="1">
      <c r="C99" s="79" t="str">
        <f>C14</f>
        <v xml:space="preserve">Fiscal year  </v>
      </c>
      <c r="D99" s="81"/>
      <c r="E99" s="81"/>
      <c r="F99" s="81"/>
      <c r="G99" s="83">
        <f t="shared" ref="G99:K100" si="21">G14</f>
        <v>2026</v>
      </c>
      <c r="H99" s="83">
        <f t="shared" si="21"/>
        <v>2027</v>
      </c>
      <c r="I99" s="83">
        <f t="shared" si="21"/>
        <v>2028</v>
      </c>
      <c r="J99" s="83">
        <f t="shared" si="21"/>
        <v>2029</v>
      </c>
      <c r="K99" s="83">
        <f t="shared" si="21"/>
        <v>2030</v>
      </c>
    </row>
    <row r="100" spans="2:13" ht="15.75" customHeight="1">
      <c r="C100" s="6" t="str">
        <f>C15</f>
        <v>Fiscal year end date</v>
      </c>
      <c r="D100" s="85"/>
      <c r="E100" s="85"/>
      <c r="F100" s="85"/>
      <c r="G100" s="85">
        <f t="shared" si="21"/>
        <v>46387</v>
      </c>
      <c r="H100" s="85">
        <f t="shared" si="21"/>
        <v>46752</v>
      </c>
      <c r="I100" s="85">
        <f t="shared" si="21"/>
        <v>47118</v>
      </c>
      <c r="J100" s="85">
        <f t="shared" si="21"/>
        <v>47483</v>
      </c>
      <c r="K100" s="85">
        <f t="shared" si="21"/>
        <v>47848</v>
      </c>
    </row>
    <row r="102" spans="2:13" ht="15.75" customHeight="1">
      <c r="C102" t="s">
        <v>81</v>
      </c>
      <c r="D102" s="104"/>
      <c r="E102" s="104"/>
      <c r="F102" s="104"/>
      <c r="G102" s="91">
        <f ca="1">G33</f>
        <v>406831.19073000003</v>
      </c>
      <c r="H102" s="91">
        <f ca="1">H33</f>
        <v>513753.977985</v>
      </c>
      <c r="I102" s="91">
        <f ca="1">I33</f>
        <v>639828.06863209489</v>
      </c>
      <c r="J102" s="91">
        <f ca="1">J33</f>
        <v>765369.38118049689</v>
      </c>
      <c r="K102" s="91">
        <f ca="1">K33</f>
        <v>893949.1139022503</v>
      </c>
      <c r="M102" s="72"/>
    </row>
    <row r="103" spans="2:13" ht="15.75" customHeight="1">
      <c r="C103" t="s">
        <v>150</v>
      </c>
      <c r="D103" s="104"/>
      <c r="E103" s="104"/>
      <c r="F103" s="104"/>
      <c r="G103" s="91">
        <f>G35</f>
        <v>193053.32600611763</v>
      </c>
      <c r="H103" s="91">
        <f>H35</f>
        <v>194030.7667549029</v>
      </c>
      <c r="I103" s="91">
        <f>I35</f>
        <v>204169.20950052125</v>
      </c>
      <c r="J103" s="91">
        <f>J35</f>
        <v>214074.74759428744</v>
      </c>
      <c r="K103" s="91">
        <f>K35</f>
        <v>227765.23894484044</v>
      </c>
    </row>
    <row r="104" spans="2:13" ht="15.75" customHeight="1">
      <c r="C104" t="s">
        <v>85</v>
      </c>
      <c r="D104" s="104"/>
      <c r="E104" s="104"/>
      <c r="F104" s="104"/>
      <c r="G104" s="91">
        <f>G37</f>
        <v>13237</v>
      </c>
      <c r="H104" s="91">
        <f>H37</f>
        <v>13237</v>
      </c>
      <c r="I104" s="91">
        <f>I37</f>
        <v>13237</v>
      </c>
      <c r="J104" s="91">
        <f>J37</f>
        <v>13237</v>
      </c>
      <c r="K104" s="91">
        <f>K37</f>
        <v>13237</v>
      </c>
    </row>
    <row r="105" spans="2:13" ht="15.75" customHeight="1">
      <c r="C105" t="s">
        <v>152</v>
      </c>
      <c r="D105" s="91"/>
      <c r="E105" s="91"/>
      <c r="F105" s="91"/>
      <c r="G105" s="91">
        <f>F54+F55+F56+F57-G54-G55-G56-G57</f>
        <v>-379664.04540324165</v>
      </c>
      <c r="H105" s="91">
        <f>G54+G55+G56+G57-H54-H55-H56-H57</f>
        <v>-380659.05356198456</v>
      </c>
      <c r="I105" s="91">
        <f>H54+H55+H56+H57-I54-I55-I56-I57</f>
        <v>-395422.42223468091</v>
      </c>
      <c r="J105" s="91">
        <f>I54+I55+I56+I57-J54-J55-J56-J57</f>
        <v>-412969.74814870069</v>
      </c>
      <c r="K105" s="91">
        <f>J54+J55+J56+J57-K54-K55-K56-K57</f>
        <v>-440377.87130725052</v>
      </c>
    </row>
    <row r="106" spans="2:13" ht="15.75" customHeight="1">
      <c r="C106" t="s">
        <v>153</v>
      </c>
      <c r="D106" s="91"/>
      <c r="E106" s="91"/>
      <c r="F106" s="91"/>
      <c r="G106" s="91">
        <f>G70+G71+G72+G75-F70-F71-F72-F75</f>
        <v>182245.25734015927</v>
      </c>
      <c r="H106" s="91">
        <f>H70+H71+H72+H75-G70-G71-G72-G75</f>
        <v>182752.01566175511</v>
      </c>
      <c r="I106" s="91">
        <f>I70+I71+I72+I75-H70-H71-H72-H75</f>
        <v>188630.3979476752</v>
      </c>
      <c r="J106" s="91">
        <f>J70+J71+J72+J75-I70-I71-I72-I75</f>
        <v>197636.13034163928</v>
      </c>
      <c r="K106" s="91">
        <f>K70+K71+K72+K75-J70-J71-J72-J75</f>
        <v>211106.76820584608</v>
      </c>
    </row>
    <row r="107" spans="2:13" ht="15.75" customHeight="1">
      <c r="C107" t="s">
        <v>117</v>
      </c>
      <c r="G107" s="91">
        <f>-G66+F66</f>
        <v>-951.72944748975351</v>
      </c>
      <c r="H107" s="91">
        <f>-H66+G66</f>
        <v>-954.00967592443521</v>
      </c>
      <c r="I107" s="91">
        <f>-I66+H66</f>
        <v>-999.89337540557972</v>
      </c>
      <c r="J107" s="91">
        <f>-J66+I66</f>
        <v>-1039.6001617835227</v>
      </c>
      <c r="K107" s="91">
        <f>-K66+J66</f>
        <v>-1105.9975216259299</v>
      </c>
    </row>
    <row r="108" spans="2:13" ht="15.75" customHeight="1">
      <c r="C108" t="s">
        <v>136</v>
      </c>
      <c r="G108" s="91">
        <f>G83-F83</f>
        <v>1074.0608514490359</v>
      </c>
      <c r="H108" s="91">
        <f>H83-G83</f>
        <v>1076.6341711046516</v>
      </c>
      <c r="I108" s="91">
        <f>I83-H83</f>
        <v>1128.4155733322841</v>
      </c>
      <c r="J108" s="91">
        <f>J83-I83</f>
        <v>1173.2261073531481</v>
      </c>
      <c r="K108" s="91">
        <f>K83-J83</f>
        <v>1248.1579118007285</v>
      </c>
      <c r="M108" s="72"/>
    </row>
    <row r="109" spans="2:13" ht="15.75" customHeight="1">
      <c r="C109" s="72" t="s">
        <v>154</v>
      </c>
      <c r="G109" s="102">
        <f ca="1">SUM(G102:G108)</f>
        <v>415825.06007699453</v>
      </c>
      <c r="H109" s="102">
        <f ca="1">SUM(H102:H108)</f>
        <v>523237.33133485366</v>
      </c>
      <c r="I109" s="102">
        <f ca="1">SUM(I102:I108)</f>
        <v>650570.77604353707</v>
      </c>
      <c r="J109" s="102">
        <f ca="1">SUM(J102:J108)</f>
        <v>777481.13691329246</v>
      </c>
      <c r="K109" s="102">
        <f ca="1">SUM(K102:K108)</f>
        <v>905822.41013586102</v>
      </c>
    </row>
    <row r="110" spans="2:13" ht="15.75" customHeight="1">
      <c r="C110" t="s">
        <v>155</v>
      </c>
      <c r="G110" s="49">
        <v>0</v>
      </c>
      <c r="H110" s="49">
        <v>-75000</v>
      </c>
      <c r="I110" s="49">
        <v>-75000</v>
      </c>
      <c r="J110" s="49">
        <v>-100000</v>
      </c>
      <c r="K110" s="49">
        <v>-100000</v>
      </c>
      <c r="M110" t="s">
        <v>156</v>
      </c>
    </row>
    <row r="111" spans="2:13" ht="15.75" customHeight="1">
      <c r="C111" t="s">
        <v>157</v>
      </c>
      <c r="G111" s="91">
        <f>-G127</f>
        <v>-94588.763828591196</v>
      </c>
      <c r="H111" s="91">
        <f>-H127</f>
        <v>-106806.73045839745</v>
      </c>
      <c r="I111" s="91">
        <f>-I127</f>
        <v>-119612.32793017547</v>
      </c>
      <c r="J111" s="91">
        <f>-J127</f>
        <v>-132926.44874630266</v>
      </c>
      <c r="K111" s="91">
        <f>-K127</f>
        <v>-147090.91809382779</v>
      </c>
    </row>
    <row r="112" spans="2:13" ht="15.75" customHeight="1">
      <c r="C112" s="72" t="s">
        <v>158</v>
      </c>
      <c r="G112" s="102">
        <f>G111+G110+G113</f>
        <v>-121588.7638285912</v>
      </c>
      <c r="H112" s="102">
        <f>H111+H110+H113</f>
        <v>-208806.73045839745</v>
      </c>
      <c r="I112" s="102">
        <f>I111+I110+I113</f>
        <v>-221612.32793017547</v>
      </c>
      <c r="J112" s="102">
        <f>J111+J110+J113</f>
        <v>-259926.44874630266</v>
      </c>
      <c r="K112" s="102">
        <f>K111+K110+K113</f>
        <v>-274090.91809382779</v>
      </c>
    </row>
    <row r="113" spans="2:13" ht="15.75" customHeight="1">
      <c r="C113" t="s">
        <v>159</v>
      </c>
      <c r="G113" s="49">
        <v>-27000</v>
      </c>
      <c r="H113" s="49">
        <v>-27000</v>
      </c>
      <c r="I113" s="49">
        <v>-27000</v>
      </c>
      <c r="J113" s="49">
        <v>-27000</v>
      </c>
      <c r="K113" s="49">
        <v>-27000</v>
      </c>
      <c r="M113" t="s">
        <v>160</v>
      </c>
    </row>
    <row r="114" spans="2:13" ht="15.75" customHeight="1">
      <c r="C114" t="s">
        <v>131</v>
      </c>
      <c r="G114" s="91">
        <f>-G77</f>
        <v>-23444</v>
      </c>
      <c r="H114" s="91">
        <f>-H77</f>
        <v>-23444</v>
      </c>
      <c r="I114" s="91">
        <f>-I77</f>
        <v>-23444</v>
      </c>
      <c r="J114" s="91">
        <f>-J77</f>
        <v>-23444</v>
      </c>
      <c r="K114" s="91">
        <f>-K77</f>
        <v>-23444</v>
      </c>
    </row>
    <row r="115" spans="2:13" ht="15.75" customHeight="1">
      <c r="C115" t="s">
        <v>138</v>
      </c>
      <c r="G115" s="91">
        <v>0</v>
      </c>
      <c r="H115" s="91">
        <v>0</v>
      </c>
      <c r="I115" s="91">
        <v>0</v>
      </c>
      <c r="J115" s="91">
        <v>0</v>
      </c>
      <c r="K115" s="91">
        <v>0</v>
      </c>
    </row>
    <row r="116" spans="2:13" ht="18" customHeight="1">
      <c r="C116" t="s">
        <v>161</v>
      </c>
      <c r="F116" s="289"/>
      <c r="G116" s="49">
        <v>-50000</v>
      </c>
      <c r="H116" s="49">
        <v>-100000</v>
      </c>
      <c r="I116" s="49">
        <v>-100000</v>
      </c>
      <c r="J116" s="49">
        <v>-100000</v>
      </c>
      <c r="K116" s="49">
        <v>-100000</v>
      </c>
      <c r="M116" t="s">
        <v>162</v>
      </c>
    </row>
    <row r="117" spans="2:13" ht="15.75" customHeight="1">
      <c r="C117" t="s">
        <v>163</v>
      </c>
      <c r="G117" s="91">
        <v>0</v>
      </c>
      <c r="H117" s="91">
        <v>0</v>
      </c>
      <c r="I117" s="91">
        <v>0</v>
      </c>
      <c r="J117" s="91">
        <v>0</v>
      </c>
      <c r="K117" s="91">
        <v>0</v>
      </c>
    </row>
    <row r="118" spans="2:13" ht="15.75" customHeight="1">
      <c r="C118" s="72" t="s">
        <v>164</v>
      </c>
      <c r="G118" s="91">
        <f>SUM(G114:G117)+G119</f>
        <v>-73444</v>
      </c>
      <c r="H118" s="91">
        <f>SUM(H114:H117)+H119</f>
        <v>-223444</v>
      </c>
      <c r="I118" s="91">
        <f>SUM(I114:I117)+I119</f>
        <v>-223444</v>
      </c>
      <c r="J118" s="91">
        <f>SUM(J114:J117)+J119</f>
        <v>-273444</v>
      </c>
      <c r="K118" s="91">
        <f>SUM(K114:K117)+K119</f>
        <v>-273444</v>
      </c>
    </row>
    <row r="119" spans="2:13" ht="15.75" customHeight="1">
      <c r="C119" t="s">
        <v>165</v>
      </c>
      <c r="G119" s="49">
        <v>0</v>
      </c>
      <c r="H119" s="49">
        <v>-100000</v>
      </c>
      <c r="I119" s="49">
        <v>-100000</v>
      </c>
      <c r="J119" s="49">
        <v>-150000</v>
      </c>
      <c r="K119" s="49">
        <v>-150000</v>
      </c>
      <c r="M119" t="s">
        <v>166</v>
      </c>
    </row>
    <row r="120" spans="2:13" ht="15.75" customHeight="1">
      <c r="C120" s="72" t="s">
        <v>167</v>
      </c>
      <c r="G120" s="98">
        <f ca="1">G109+G112+G118</f>
        <v>220792.29624840332</v>
      </c>
      <c r="H120" s="98">
        <f ca="1">H109+H112+H118</f>
        <v>90986.600876456243</v>
      </c>
      <c r="I120" s="98">
        <f ca="1">I109+I112+I118</f>
        <v>205514.44811336161</v>
      </c>
      <c r="J120" s="98">
        <f ca="1">J109+J112+J118</f>
        <v>244110.68816698983</v>
      </c>
      <c r="K120" s="98">
        <f ca="1">K109+K112+K118</f>
        <v>358287.49204203323</v>
      </c>
    </row>
    <row r="122" spans="2:13" ht="15.75" customHeight="1">
      <c r="B122" t="s">
        <v>0</v>
      </c>
      <c r="C122" s="57" t="s">
        <v>168</v>
      </c>
      <c r="D122" s="6"/>
      <c r="E122" s="6"/>
      <c r="F122" s="6"/>
      <c r="G122" s="6"/>
      <c r="H122" s="6"/>
      <c r="I122" s="6"/>
      <c r="J122" s="6"/>
      <c r="K122" s="6"/>
    </row>
    <row r="123" spans="2:13" ht="15.75" customHeight="1">
      <c r="C123" s="79" t="str">
        <f t="shared" ref="C123:K123" si="22">C14</f>
        <v xml:space="preserve">Fiscal year  </v>
      </c>
      <c r="D123" s="81">
        <f t="shared" si="22"/>
        <v>2023</v>
      </c>
      <c r="E123" s="81">
        <f t="shared" si="22"/>
        <v>2024</v>
      </c>
      <c r="F123" s="81">
        <f t="shared" si="22"/>
        <v>2025</v>
      </c>
      <c r="G123" s="83">
        <f t="shared" si="22"/>
        <v>2026</v>
      </c>
      <c r="H123" s="83">
        <f t="shared" si="22"/>
        <v>2027</v>
      </c>
      <c r="I123" s="83">
        <f t="shared" si="22"/>
        <v>2028</v>
      </c>
      <c r="J123" s="83">
        <f t="shared" si="22"/>
        <v>2029</v>
      </c>
      <c r="K123" s="83">
        <f t="shared" si="22"/>
        <v>2030</v>
      </c>
    </row>
    <row r="124" spans="2:13" ht="15.75" customHeight="1">
      <c r="C124" s="6" t="str">
        <f t="shared" ref="C124:K124" si="23">C15</f>
        <v>Fiscal year end date</v>
      </c>
      <c r="D124" s="85">
        <f t="shared" si="23"/>
        <v>45291</v>
      </c>
      <c r="E124" s="85">
        <f t="shared" si="23"/>
        <v>45657</v>
      </c>
      <c r="F124" s="85">
        <f t="shared" si="23"/>
        <v>46022</v>
      </c>
      <c r="G124" s="85">
        <f t="shared" si="23"/>
        <v>46387</v>
      </c>
      <c r="H124" s="85">
        <f t="shared" si="23"/>
        <v>46752</v>
      </c>
      <c r="I124" s="85">
        <f t="shared" si="23"/>
        <v>47118</v>
      </c>
      <c r="J124" s="85">
        <f t="shared" si="23"/>
        <v>47483</v>
      </c>
      <c r="K124" s="85">
        <f t="shared" si="23"/>
        <v>47848</v>
      </c>
    </row>
    <row r="125" spans="2:13" ht="15.75" customHeight="1">
      <c r="C125" s="72"/>
      <c r="G125" s="306" t="s">
        <v>169</v>
      </c>
      <c r="H125" s="306"/>
      <c r="I125" s="306"/>
      <c r="J125" s="306"/>
      <c r="K125" s="306"/>
    </row>
    <row r="126" spans="2:13" ht="15.75" customHeight="1">
      <c r="C126" s="95" t="s">
        <v>170</v>
      </c>
      <c r="F126" s="91">
        <f>E60</f>
        <v>568607</v>
      </c>
      <c r="G126" s="91">
        <f>F129</f>
        <v>579971</v>
      </c>
      <c r="H126" s="91">
        <f>G129</f>
        <v>602929.43782247358</v>
      </c>
      <c r="I126" s="91">
        <f>H129</f>
        <v>628853.4015259681</v>
      </c>
      <c r="J126" s="91">
        <f>I129</f>
        <v>657885.51995562238</v>
      </c>
      <c r="K126" s="91">
        <f>J129</f>
        <v>690149.22110763751</v>
      </c>
    </row>
    <row r="127" spans="2:13" ht="15.75" customHeight="1">
      <c r="C127" s="44" t="s">
        <v>171</v>
      </c>
      <c r="D127" s="49"/>
      <c r="E127" s="49"/>
      <c r="F127" s="109">
        <v>82400</v>
      </c>
      <c r="G127" s="54">
        <f>($F$127/$F$19)*G19</f>
        <v>94588.763828591196</v>
      </c>
      <c r="H127" s="54">
        <f>($F$127/$F$19)*H19</f>
        <v>106806.73045839745</v>
      </c>
      <c r="I127" s="54">
        <f>($F$127/$F$19)*I19</f>
        <v>119612.32793017547</v>
      </c>
      <c r="J127" s="54">
        <f>($F$127/$F$19)*J19</f>
        <v>132926.44874630266</v>
      </c>
      <c r="K127" s="54">
        <f>($F$127/$F$19)*K19</f>
        <v>147090.91809382779</v>
      </c>
    </row>
    <row r="128" spans="2:13" ht="15.75" customHeight="1">
      <c r="C128" s="108" t="s">
        <v>173</v>
      </c>
      <c r="D128" s="109"/>
      <c r="E128" s="109"/>
      <c r="F128" s="109">
        <v>-62400</v>
      </c>
      <c r="G128" s="110">
        <f>-G127*G131</f>
        <v>-71630.326006117612</v>
      </c>
      <c r="H128" s="110">
        <f>-H127*H131</f>
        <v>-80882.766754902914</v>
      </c>
      <c r="I128" s="110">
        <f>-I127*I131</f>
        <v>-90580.209500521232</v>
      </c>
      <c r="J128" s="110">
        <f>-J127*J131</f>
        <v>-100662.74759428744</v>
      </c>
      <c r="K128" s="110">
        <f>-K127*K131</f>
        <v>-111389.23894484046</v>
      </c>
    </row>
    <row r="129" spans="2:15" ht="15.75" customHeight="1">
      <c r="C129" s="111" t="s">
        <v>175</v>
      </c>
      <c r="D129" s="102"/>
      <c r="E129" s="102"/>
      <c r="F129" s="102">
        <f>F60</f>
        <v>579971</v>
      </c>
      <c r="G129" s="102">
        <f>SUM(G126:G128)</f>
        <v>602929.43782247358</v>
      </c>
      <c r="H129" s="102">
        <f>SUM(H126:H128)</f>
        <v>628853.4015259681</v>
      </c>
      <c r="I129" s="102">
        <f>SUM(I126:I128)</f>
        <v>657885.51995562238</v>
      </c>
      <c r="J129" s="102">
        <f>SUM(J126:J128)</f>
        <v>690149.22110763751</v>
      </c>
      <c r="K129" s="102">
        <f>SUM(K126:K128)</f>
        <v>725850.90025662479</v>
      </c>
    </row>
    <row r="130" spans="2:15" ht="15.75" customHeight="1">
      <c r="C130" s="95"/>
      <c r="M130" s="26"/>
    </row>
    <row r="131" spans="2:15" ht="16.5" customHeight="1">
      <c r="C131" s="95" t="s">
        <v>176</v>
      </c>
      <c r="D131" s="112"/>
      <c r="E131" s="112"/>
      <c r="F131" s="113">
        <f>-F128/F127</f>
        <v>0.75728155339805825</v>
      </c>
      <c r="G131" s="42">
        <f>F131</f>
        <v>0.75728155339805825</v>
      </c>
      <c r="H131" s="42">
        <f>G131</f>
        <v>0.75728155339805825</v>
      </c>
      <c r="I131" s="42">
        <f>H131</f>
        <v>0.75728155339805825</v>
      </c>
      <c r="J131" s="42">
        <f>I131</f>
        <v>0.75728155339805825</v>
      </c>
      <c r="K131" s="42">
        <f>J131</f>
        <v>0.75728155339805825</v>
      </c>
    </row>
    <row r="132" spans="2:15" ht="15.75" customHeight="1">
      <c r="C132" s="95"/>
      <c r="D132" s="112"/>
      <c r="E132" s="112"/>
      <c r="F132" s="112"/>
      <c r="G132" s="42"/>
      <c r="H132" s="42"/>
      <c r="I132" s="42"/>
      <c r="J132" s="42"/>
      <c r="K132" s="42"/>
      <c r="O132" s="114"/>
    </row>
    <row r="133" spans="2:15" ht="15.75" customHeight="1">
      <c r="B133" t="s">
        <v>0</v>
      </c>
      <c r="C133" s="115" t="s">
        <v>177</v>
      </c>
      <c r="D133" s="116"/>
      <c r="E133" s="116"/>
      <c r="F133" s="116"/>
      <c r="G133" s="117"/>
      <c r="H133" s="117"/>
      <c r="I133" s="117"/>
      <c r="J133" s="117"/>
      <c r="K133" s="117"/>
      <c r="O133" s="114"/>
    </row>
    <row r="134" spans="2:15" ht="15.75" customHeight="1">
      <c r="C134" s="95" t="s">
        <v>178</v>
      </c>
      <c r="D134" s="91"/>
      <c r="E134" s="91"/>
      <c r="F134" s="91">
        <f>F35+F128</f>
        <v>131264</v>
      </c>
      <c r="G134" s="101">
        <v>121423</v>
      </c>
      <c r="H134" s="101">
        <v>113148</v>
      </c>
      <c r="I134" s="101">
        <v>113589</v>
      </c>
      <c r="J134" s="101">
        <v>113412</v>
      </c>
      <c r="K134" s="101">
        <v>116376</v>
      </c>
      <c r="O134" s="114"/>
    </row>
    <row r="135" spans="2:15" ht="15.75" customHeight="1">
      <c r="C135" s="44" t="s">
        <v>180</v>
      </c>
      <c r="D135" s="118"/>
      <c r="E135" s="118"/>
      <c r="F135" s="118"/>
      <c r="G135" s="42">
        <f>G134/G19</f>
        <v>1.7447612588722839E-2</v>
      </c>
      <c r="H135" s="42">
        <f>H134/H19</f>
        <v>1.4398686018885496E-2</v>
      </c>
      <c r="I135" s="42">
        <f>I134/I19</f>
        <v>1.2907286015683321E-2</v>
      </c>
      <c r="J135" s="42">
        <f>J134/J19</f>
        <v>1.1596373834481455E-2</v>
      </c>
      <c r="K135" s="42">
        <f>K134/K19</f>
        <v>1.075355764685107E-2</v>
      </c>
      <c r="O135" s="114"/>
    </row>
    <row r="136" spans="2:15" ht="15.75" customHeight="1">
      <c r="C136" s="97" t="s">
        <v>181</v>
      </c>
      <c r="D136" s="102"/>
      <c r="E136" s="102"/>
      <c r="F136" s="102"/>
      <c r="G136" s="98">
        <f>G134-G128</f>
        <v>193053.32600611763</v>
      </c>
      <c r="H136" s="98">
        <f>H134-H128</f>
        <v>194030.7667549029</v>
      </c>
      <c r="I136" s="98">
        <f>I134-I128</f>
        <v>204169.20950052125</v>
      </c>
      <c r="J136" s="98">
        <f>J134-J128</f>
        <v>214074.74759428744</v>
      </c>
      <c r="K136" s="98">
        <f>K134-K128</f>
        <v>227765.23894484044</v>
      </c>
      <c r="O136" s="114"/>
    </row>
    <row r="137" spans="2:15" ht="15.75" customHeight="1">
      <c r="H137" s="91"/>
      <c r="I137" s="91"/>
      <c r="J137" s="91"/>
      <c r="K137" s="91"/>
    </row>
    <row r="138" spans="2:15" ht="15.75" customHeight="1">
      <c r="B138" t="s">
        <v>0</v>
      </c>
      <c r="C138" s="119" t="s">
        <v>182</v>
      </c>
      <c r="D138" s="120"/>
      <c r="E138" s="120"/>
      <c r="F138" s="120"/>
      <c r="G138" s="121">
        <f>G14</f>
        <v>2026</v>
      </c>
      <c r="H138" s="121">
        <f>H14</f>
        <v>2027</v>
      </c>
      <c r="I138" s="121">
        <f>I14</f>
        <v>2028</v>
      </c>
      <c r="J138" s="121">
        <f>J14</f>
        <v>2029</v>
      </c>
      <c r="K138" s="121">
        <f>K14</f>
        <v>2030</v>
      </c>
    </row>
    <row r="139" spans="2:15" ht="15.75" customHeight="1">
      <c r="C139" s="95" t="s">
        <v>170</v>
      </c>
      <c r="F139" s="91">
        <f>E90</f>
        <v>-1563321</v>
      </c>
      <c r="G139" s="91">
        <f>F143</f>
        <v>-1285905</v>
      </c>
      <c r="H139" s="91">
        <f ca="1">G143</f>
        <v>-879073.80926999997</v>
      </c>
      <c r="I139" s="91">
        <f ca="1">H143</f>
        <v>-365319.83128499996</v>
      </c>
      <c r="J139" s="91">
        <f ca="1">I143</f>
        <v>274508.23734709492</v>
      </c>
      <c r="K139" s="91">
        <f ca="1">J143</f>
        <v>1039877.6185275918</v>
      </c>
    </row>
    <row r="140" spans="2:15" ht="15.75" customHeight="1">
      <c r="C140" s="44" t="s">
        <v>183</v>
      </c>
      <c r="D140" s="101"/>
      <c r="E140" s="101"/>
      <c r="F140" s="91">
        <f t="shared" ref="F140:K140" si="24">F33</f>
        <v>277416</v>
      </c>
      <c r="G140" s="91">
        <f t="shared" ca="1" si="24"/>
        <v>406831.19073000003</v>
      </c>
      <c r="H140" s="91">
        <f t="shared" ca="1" si="24"/>
        <v>513753.977985</v>
      </c>
      <c r="I140" s="91">
        <f t="shared" ca="1" si="24"/>
        <v>639828.06863209489</v>
      </c>
      <c r="J140" s="91">
        <f t="shared" ca="1" si="24"/>
        <v>765369.38118049689</v>
      </c>
      <c r="K140" s="91">
        <f t="shared" ca="1" si="24"/>
        <v>893949.1139022503</v>
      </c>
    </row>
    <row r="141" spans="2:15" ht="15.75" customHeight="1">
      <c r="C141" s="44" t="s">
        <v>184</v>
      </c>
      <c r="D141" s="49"/>
      <c r="E141" s="49"/>
      <c r="F141" s="91">
        <f t="shared" ref="F141:K141" si="25">-F117</f>
        <v>0</v>
      </c>
      <c r="G141" s="91">
        <f t="shared" si="25"/>
        <v>0</v>
      </c>
      <c r="H141" s="91">
        <f t="shared" si="25"/>
        <v>0</v>
      </c>
      <c r="I141" s="91">
        <f t="shared" si="25"/>
        <v>0</v>
      </c>
      <c r="J141" s="91">
        <f t="shared" si="25"/>
        <v>0</v>
      </c>
      <c r="K141" s="91">
        <f t="shared" si="25"/>
        <v>0</v>
      </c>
    </row>
    <row r="142" spans="2:15" ht="15.75" customHeight="1">
      <c r="C142" s="108" t="s">
        <v>185</v>
      </c>
      <c r="D142" s="109"/>
      <c r="E142" s="109"/>
      <c r="F142" s="110">
        <v>0</v>
      </c>
      <c r="G142" s="110">
        <v>0</v>
      </c>
      <c r="H142" s="110">
        <v>0</v>
      </c>
      <c r="I142" s="110">
        <v>0</v>
      </c>
      <c r="J142" s="110">
        <v>0</v>
      </c>
      <c r="K142" s="110">
        <v>0</v>
      </c>
    </row>
    <row r="143" spans="2:15" ht="15.75" customHeight="1">
      <c r="C143" s="111" t="s">
        <v>175</v>
      </c>
      <c r="D143" s="98"/>
      <c r="E143" s="98"/>
      <c r="F143" s="98">
        <f t="shared" ref="F143:K143" si="26">SUM(F139:F142)</f>
        <v>-1285905</v>
      </c>
      <c r="G143" s="98">
        <f t="shared" ca="1" si="26"/>
        <v>-879073.80926999997</v>
      </c>
      <c r="H143" s="98">
        <f t="shared" ca="1" si="26"/>
        <v>-365319.83128499996</v>
      </c>
      <c r="I143" s="98">
        <f t="shared" ca="1" si="26"/>
        <v>274508.23734709492</v>
      </c>
      <c r="J143" s="98">
        <f t="shared" ca="1" si="26"/>
        <v>1039877.6185275918</v>
      </c>
      <c r="K143" s="98">
        <f t="shared" ca="1" si="26"/>
        <v>1933826.732429842</v>
      </c>
    </row>
    <row r="144" spans="2:15" ht="15.75" customHeight="1">
      <c r="E144" s="104"/>
      <c r="F144" s="104"/>
    </row>
    <row r="145" spans="2:11" ht="15.75" customHeight="1">
      <c r="B145" t="s">
        <v>0</v>
      </c>
      <c r="C145" s="57" t="s">
        <v>186</v>
      </c>
      <c r="D145" s="6"/>
      <c r="E145" s="6"/>
      <c r="F145" s="6"/>
      <c r="G145" s="6"/>
      <c r="H145" s="6"/>
      <c r="I145" s="6"/>
      <c r="J145" s="6"/>
      <c r="K145" s="6"/>
    </row>
    <row r="146" spans="2:11" ht="15.75" customHeight="1">
      <c r="C146" s="79" t="str">
        <f t="shared" ref="C146:K146" si="27">C14</f>
        <v xml:space="preserve">Fiscal year  </v>
      </c>
      <c r="D146" s="81">
        <f t="shared" si="27"/>
        <v>2023</v>
      </c>
      <c r="E146" s="81">
        <f t="shared" si="27"/>
        <v>2024</v>
      </c>
      <c r="F146" s="81">
        <f t="shared" si="27"/>
        <v>2025</v>
      </c>
      <c r="G146" s="83">
        <f t="shared" si="27"/>
        <v>2026</v>
      </c>
      <c r="H146" s="83">
        <f t="shared" si="27"/>
        <v>2027</v>
      </c>
      <c r="I146" s="83">
        <f t="shared" si="27"/>
        <v>2028</v>
      </c>
      <c r="J146" s="83">
        <f t="shared" si="27"/>
        <v>2029</v>
      </c>
      <c r="K146" s="83">
        <f t="shared" si="27"/>
        <v>2030</v>
      </c>
    </row>
    <row r="147" spans="2:11" ht="15.75" customHeight="1">
      <c r="C147" s="6" t="str">
        <f t="shared" ref="C147:K147" si="28">C15</f>
        <v>Fiscal year end date</v>
      </c>
      <c r="D147" s="85">
        <f t="shared" si="28"/>
        <v>45291</v>
      </c>
      <c r="E147" s="85">
        <f t="shared" si="28"/>
        <v>45657</v>
      </c>
      <c r="F147" s="85">
        <f t="shared" si="28"/>
        <v>46022</v>
      </c>
      <c r="G147" s="85">
        <f t="shared" si="28"/>
        <v>46387</v>
      </c>
      <c r="H147" s="85">
        <f t="shared" si="28"/>
        <v>46752</v>
      </c>
      <c r="I147" s="85">
        <f t="shared" si="28"/>
        <v>47118</v>
      </c>
      <c r="J147" s="85">
        <f t="shared" si="28"/>
        <v>47483</v>
      </c>
      <c r="K147" s="85">
        <f t="shared" si="28"/>
        <v>47848</v>
      </c>
    </row>
    <row r="148" spans="2:11" ht="15.75" customHeight="1">
      <c r="C148" s="72"/>
    </row>
    <row r="149" spans="2:11" ht="15.75" customHeight="1">
      <c r="C149" s="26" t="s">
        <v>187</v>
      </c>
    </row>
    <row r="150" spans="2:11" ht="15.75" customHeight="1">
      <c r="C150" s="44" t="s">
        <v>188</v>
      </c>
      <c r="G150" s="91">
        <f>F53</f>
        <v>289717</v>
      </c>
      <c r="H150" s="91">
        <f ca="1">G53</f>
        <v>510509.29624840332</v>
      </c>
      <c r="I150" s="91">
        <f ca="1">H53</f>
        <v>601495.8971248595</v>
      </c>
      <c r="J150" s="91">
        <f ca="1">I53</f>
        <v>807010.34523822111</v>
      </c>
      <c r="K150" s="91">
        <f ca="1">J53</f>
        <v>1051121.0334052108</v>
      </c>
    </row>
    <row r="151" spans="2:11" ht="15.75" customHeight="1">
      <c r="C151" s="44" t="s">
        <v>189</v>
      </c>
      <c r="G151" s="49">
        <v>-50000</v>
      </c>
      <c r="H151" s="49">
        <v>-50000</v>
      </c>
      <c r="I151" s="49">
        <v>-50000</v>
      </c>
      <c r="J151" s="49">
        <v>-50000</v>
      </c>
      <c r="K151" s="49">
        <v>-50000</v>
      </c>
    </row>
    <row r="152" spans="2:11" ht="15.75" customHeight="1">
      <c r="C152" s="108" t="s">
        <v>190</v>
      </c>
      <c r="D152" s="122"/>
      <c r="E152" s="122"/>
      <c r="F152" s="122"/>
      <c r="G152" s="110">
        <f ca="1">G109+G112+G114+G116+G117+G119</f>
        <v>220792.29624840332</v>
      </c>
      <c r="H152" s="110">
        <f ca="1">H109+H112+H114+H116+H117+H119</f>
        <v>90986.600876456243</v>
      </c>
      <c r="I152" s="110">
        <f ca="1">I109+I112+I114+I116+I117+I119</f>
        <v>205514.44811336161</v>
      </c>
      <c r="J152" s="110">
        <f ca="1">J109+J112+J114+J116+J117+J119</f>
        <v>244110.68816698983</v>
      </c>
      <c r="K152" s="110">
        <f ca="1">K109+K112+K114+K116+K117+K119</f>
        <v>358287.49204203323</v>
      </c>
    </row>
    <row r="153" spans="2:11" ht="15.75" customHeight="1">
      <c r="C153" s="111" t="s">
        <v>191</v>
      </c>
      <c r="G153" s="98">
        <f ca="1">SUM(G150:G152)</f>
        <v>460509.29624840332</v>
      </c>
      <c r="H153" s="98">
        <f ca="1">SUM(H150:H152)</f>
        <v>551495.8971248595</v>
      </c>
      <c r="I153" s="98">
        <f ca="1">SUM(I150:I152)</f>
        <v>757010.34523822111</v>
      </c>
      <c r="J153" s="98">
        <f ca="1">SUM(J150:J152)</f>
        <v>1001121.0334052109</v>
      </c>
      <c r="K153" s="98">
        <f ca="1">SUM(K150:K152)</f>
        <v>1359408.5254472441</v>
      </c>
    </row>
    <row r="154" spans="2:11" ht="15.75" customHeight="1">
      <c r="C154" s="44"/>
      <c r="G154" s="123"/>
      <c r="H154" s="123"/>
      <c r="I154" s="123"/>
      <c r="J154" s="123"/>
      <c r="K154" s="123"/>
    </row>
    <row r="155" spans="2:11" ht="15.75" customHeight="1">
      <c r="C155" s="72" t="s">
        <v>192</v>
      </c>
    </row>
    <row r="156" spans="2:11" ht="15.75" customHeight="1">
      <c r="C156" s="44" t="s">
        <v>170</v>
      </c>
      <c r="G156" s="54">
        <f>F85</f>
        <v>0</v>
      </c>
      <c r="H156" s="91">
        <f ca="1">G159</f>
        <v>0</v>
      </c>
      <c r="I156" s="91">
        <f ca="1">H159</f>
        <v>0</v>
      </c>
      <c r="J156" s="91">
        <f ca="1">I159</f>
        <v>0</v>
      </c>
      <c r="K156" s="91">
        <f ca="1">J159</f>
        <v>0</v>
      </c>
    </row>
    <row r="157" spans="2:11" ht="15.75" customHeight="1">
      <c r="C157" s="44" t="s">
        <v>193</v>
      </c>
      <c r="G157" s="91">
        <f ca="1">IF(G153&lt;0,-G153,IF(G156&gt;0,-MIN(G156,G153),0))</f>
        <v>0</v>
      </c>
      <c r="H157" s="91">
        <f ca="1">IF(H153&lt;0,-H153,IF(H156&gt;0,-MIN(H156,H153),0))</f>
        <v>0</v>
      </c>
      <c r="I157" s="91">
        <f ca="1">IF(I153&lt;0,-I153,IF(I156&gt;0,-MIN(I156,I153),0))</f>
        <v>0</v>
      </c>
      <c r="J157" s="91">
        <f ca="1">IF(J153&lt;0,-J153,IF(J156&gt;0,-MIN(J156,J153),0))</f>
        <v>0</v>
      </c>
      <c r="K157" s="91">
        <f ca="1">IF(K153&lt;0,-K153,IF(K156&gt;0,-MIN(K156,K153),0))</f>
        <v>0</v>
      </c>
    </row>
    <row r="158" spans="2:11" ht="15.75" customHeight="1">
      <c r="C158" s="108" t="s">
        <v>194</v>
      </c>
      <c r="D158" s="122"/>
      <c r="E158" s="122"/>
      <c r="F158" s="122"/>
      <c r="G158" s="109">
        <v>0</v>
      </c>
      <c r="H158" s="109">
        <v>0</v>
      </c>
      <c r="I158" s="109">
        <v>0</v>
      </c>
      <c r="J158" s="109">
        <v>0</v>
      </c>
      <c r="K158" s="109">
        <v>0</v>
      </c>
    </row>
    <row r="159" spans="2:11" ht="15.75" customHeight="1">
      <c r="C159" s="124" t="s">
        <v>175</v>
      </c>
      <c r="D159" s="125"/>
      <c r="E159" s="125"/>
      <c r="F159" s="125"/>
      <c r="G159" s="126">
        <f ca="1">G156+G157+G158</f>
        <v>0</v>
      </c>
      <c r="H159" s="126">
        <f ca="1">H156+H157+H158</f>
        <v>0</v>
      </c>
      <c r="I159" s="126">
        <f ca="1">I156+I157+I158</f>
        <v>0</v>
      </c>
      <c r="J159" s="126">
        <f ca="1">J156+J157+J158</f>
        <v>0</v>
      </c>
      <c r="K159" s="126">
        <f ca="1">K156+K157+K158</f>
        <v>0</v>
      </c>
    </row>
    <row r="160" spans="2:11" ht="15.75" customHeight="1">
      <c r="C160" s="127" t="s">
        <v>195</v>
      </c>
      <c r="D160" s="129"/>
      <c r="E160" s="129"/>
      <c r="F160" s="130">
        <f t="shared" ref="F160:K160" si="29">F79+F77</f>
        <v>2214605</v>
      </c>
      <c r="G160" s="131">
        <f t="shared" ca="1" si="29"/>
        <v>2191161</v>
      </c>
      <c r="H160" s="131">
        <f t="shared" ca="1" si="29"/>
        <v>2067717</v>
      </c>
      <c r="I160" s="131">
        <f t="shared" ca="1" si="29"/>
        <v>1944273</v>
      </c>
      <c r="J160" s="131">
        <f t="shared" ca="1" si="29"/>
        <v>1770829</v>
      </c>
      <c r="K160" s="132">
        <f t="shared" ca="1" si="29"/>
        <v>1597385</v>
      </c>
    </row>
    <row r="161" spans="2:11" ht="15.75" customHeight="1">
      <c r="D161" s="91"/>
      <c r="E161" s="91"/>
      <c r="F161" s="133"/>
      <c r="G161" s="134"/>
      <c r="H161" s="134"/>
      <c r="I161" s="134"/>
      <c r="J161" s="134"/>
      <c r="K161" s="134"/>
    </row>
    <row r="162" spans="2:11" ht="15.75" customHeight="1">
      <c r="B162" t="s">
        <v>0</v>
      </c>
      <c r="C162" s="57" t="s">
        <v>196</v>
      </c>
      <c r="D162" s="116"/>
      <c r="E162" s="116"/>
      <c r="F162" s="116"/>
      <c r="G162" s="135"/>
      <c r="H162" s="135"/>
      <c r="I162" s="135"/>
      <c r="J162" s="135"/>
      <c r="K162" s="135"/>
    </row>
    <row r="163" spans="2:11" ht="15.75" customHeight="1">
      <c r="C163" s="79" t="str">
        <f t="shared" ref="C163:K163" si="30">C14</f>
        <v xml:space="preserve">Fiscal year  </v>
      </c>
      <c r="D163" s="81">
        <f t="shared" si="30"/>
        <v>2023</v>
      </c>
      <c r="E163" s="81">
        <f t="shared" si="30"/>
        <v>2024</v>
      </c>
      <c r="F163" s="81">
        <f t="shared" si="30"/>
        <v>2025</v>
      </c>
      <c r="G163" s="83">
        <f t="shared" si="30"/>
        <v>2026</v>
      </c>
      <c r="H163" s="83">
        <f t="shared" si="30"/>
        <v>2027</v>
      </c>
      <c r="I163" s="83">
        <f t="shared" si="30"/>
        <v>2028</v>
      </c>
      <c r="J163" s="83">
        <f t="shared" si="30"/>
        <v>2029</v>
      </c>
      <c r="K163" s="83">
        <f t="shared" si="30"/>
        <v>2030</v>
      </c>
    </row>
    <row r="164" spans="2:11" ht="15.75" customHeight="1">
      <c r="C164" s="6" t="str">
        <f t="shared" ref="C164:K164" si="31">C15</f>
        <v>Fiscal year end date</v>
      </c>
      <c r="D164" s="85">
        <f t="shared" si="31"/>
        <v>45291</v>
      </c>
      <c r="E164" s="85">
        <f t="shared" si="31"/>
        <v>45657</v>
      </c>
      <c r="F164" s="85">
        <f t="shared" si="31"/>
        <v>46022</v>
      </c>
      <c r="G164" s="85">
        <f t="shared" si="31"/>
        <v>46387</v>
      </c>
      <c r="H164" s="85">
        <f t="shared" si="31"/>
        <v>46752</v>
      </c>
      <c r="I164" s="85">
        <f t="shared" si="31"/>
        <v>47118</v>
      </c>
      <c r="J164" s="85">
        <f t="shared" si="31"/>
        <v>47483</v>
      </c>
      <c r="K164" s="85">
        <f t="shared" si="31"/>
        <v>47848</v>
      </c>
    </row>
    <row r="165" spans="2:11" ht="15.75" customHeight="1">
      <c r="C165" s="44"/>
      <c r="D165" s="91"/>
      <c r="E165" s="91"/>
      <c r="F165" s="91"/>
      <c r="G165" s="136"/>
      <c r="H165" s="136"/>
      <c r="I165" s="136"/>
      <c r="J165" s="136"/>
      <c r="K165" s="136"/>
    </row>
    <row r="166" spans="2:11" ht="15.75" customHeight="1">
      <c r="C166" s="95" t="s">
        <v>197</v>
      </c>
      <c r="D166" s="91"/>
      <c r="E166" s="91"/>
      <c r="F166" s="98">
        <f>F27</f>
        <v>-174217</v>
      </c>
      <c r="G166" s="98">
        <f ca="1">G171+G176</f>
        <v>-138781.62900000002</v>
      </c>
      <c r="H166" s="98">
        <f ca="1">H171+H176</f>
        <v>-134154.65700000001</v>
      </c>
      <c r="I166" s="98">
        <f ca="1">I171+I176</f>
        <v>-126377.685</v>
      </c>
      <c r="J166" s="98">
        <f ca="1">J171+J176</f>
        <v>-117025.713</v>
      </c>
      <c r="K166" s="98">
        <f ca="1">K171+K176</f>
        <v>-106098.74099999999</v>
      </c>
    </row>
    <row r="167" spans="2:11" ht="15.75" customHeight="1">
      <c r="C167" s="137"/>
    </row>
    <row r="168" spans="2:11" ht="15.75" customHeight="1">
      <c r="C168" s="138" t="s">
        <v>198</v>
      </c>
    </row>
    <row r="169" spans="2:11" ht="15.75" customHeight="1">
      <c r="C169" s="44" t="s">
        <v>199</v>
      </c>
      <c r="G169" s="43">
        <v>6.0499999999999998E-2</v>
      </c>
      <c r="H169" s="43">
        <v>6.0499999999999998E-2</v>
      </c>
      <c r="I169" s="43">
        <v>6.0499999999999998E-2</v>
      </c>
      <c r="J169" s="43">
        <v>6.0499999999999998E-2</v>
      </c>
      <c r="K169" s="43">
        <v>6.0499999999999998E-2</v>
      </c>
    </row>
    <row r="170" spans="2:11" ht="15.75" customHeight="1">
      <c r="C170" s="44" t="s">
        <v>200</v>
      </c>
      <c r="D170" s="91"/>
      <c r="E170" s="91"/>
      <c r="F170" s="91">
        <v>0</v>
      </c>
      <c r="G170" s="91">
        <f ca="1">G159</f>
        <v>0</v>
      </c>
      <c r="H170" s="91">
        <f ca="1">H159</f>
        <v>0</v>
      </c>
      <c r="I170" s="91">
        <f ca="1">I159</f>
        <v>0</v>
      </c>
      <c r="J170" s="91">
        <f ca="1">J159</f>
        <v>0</v>
      </c>
      <c r="K170" s="91">
        <f ca="1">K159</f>
        <v>0</v>
      </c>
    </row>
    <row r="171" spans="2:11" ht="15.75" customHeight="1">
      <c r="C171" s="139" t="s">
        <v>201</v>
      </c>
      <c r="D171" s="140"/>
      <c r="E171" s="140"/>
      <c r="F171" s="141">
        <v>0</v>
      </c>
      <c r="G171" s="141">
        <f ca="1">-G169*(F170+G170)/2</f>
        <v>0</v>
      </c>
      <c r="H171" s="141">
        <f ca="1">-H169*(G170+H170)/2</f>
        <v>0</v>
      </c>
      <c r="I171" s="141">
        <f ca="1">-I169*(H170+I170)/2</f>
        <v>0</v>
      </c>
      <c r="J171" s="141">
        <f ca="1">-J169*(I170+J170)/2</f>
        <v>0</v>
      </c>
      <c r="K171" s="141">
        <f ca="1">-K169*(J170+K170)/2</f>
        <v>0</v>
      </c>
    </row>
    <row r="172" spans="2:11" ht="15.75" customHeight="1">
      <c r="C172" s="89"/>
      <c r="D172" s="91"/>
      <c r="E172" s="91"/>
      <c r="F172" s="91"/>
    </row>
    <row r="173" spans="2:11" ht="15.75" customHeight="1">
      <c r="C173" s="138" t="s">
        <v>131</v>
      </c>
      <c r="D173" s="91"/>
      <c r="E173" s="91"/>
      <c r="F173" s="91"/>
    </row>
    <row r="174" spans="2:11" ht="15.75" customHeight="1">
      <c r="C174" s="44" t="s">
        <v>200</v>
      </c>
      <c r="D174" s="91"/>
      <c r="E174" s="91">
        <f t="shared" ref="E174:K174" si="32">E79+E77</f>
        <v>2231426</v>
      </c>
      <c r="F174" s="91">
        <f t="shared" si="32"/>
        <v>2214605</v>
      </c>
      <c r="G174" s="91">
        <f t="shared" ca="1" si="32"/>
        <v>2191161</v>
      </c>
      <c r="H174" s="91">
        <f t="shared" ca="1" si="32"/>
        <v>2067717</v>
      </c>
      <c r="I174" s="91">
        <f t="shared" ca="1" si="32"/>
        <v>1944273</v>
      </c>
      <c r="J174" s="91">
        <f t="shared" ca="1" si="32"/>
        <v>1770829</v>
      </c>
      <c r="K174" s="91">
        <f t="shared" ca="1" si="32"/>
        <v>1597385</v>
      </c>
    </row>
    <row r="175" spans="2:11" ht="15.75" customHeight="1">
      <c r="C175" s="44" t="s">
        <v>199</v>
      </c>
      <c r="E175" s="118"/>
      <c r="F175" s="112">
        <f>-F27/((E174+F174)/2)</f>
        <v>7.8369673985628982E-2</v>
      </c>
      <c r="G175" s="43">
        <v>6.3E-2</v>
      </c>
      <c r="H175" s="43">
        <v>6.3E-2</v>
      </c>
      <c r="I175" s="43">
        <v>6.3E-2</v>
      </c>
      <c r="J175" s="43">
        <v>6.3E-2</v>
      </c>
      <c r="K175" s="43">
        <v>6.3E-2</v>
      </c>
    </row>
    <row r="176" spans="2:11" ht="15.75" customHeight="1">
      <c r="C176" s="111" t="s">
        <v>74</v>
      </c>
      <c r="D176" s="102"/>
      <c r="E176" s="102"/>
      <c r="F176" s="91">
        <f>F27</f>
        <v>-174217</v>
      </c>
      <c r="G176" s="91">
        <f ca="1">-G175*(F174+G174)/2</f>
        <v>-138781.62900000002</v>
      </c>
      <c r="H176" s="91">
        <f ca="1">-H175*(G174+H174)/2</f>
        <v>-134154.65700000001</v>
      </c>
      <c r="I176" s="91">
        <f ca="1">-I175*(H174+I174)/2</f>
        <v>-126377.685</v>
      </c>
      <c r="J176" s="91">
        <f ca="1">-J175*(I174+J174)/2</f>
        <v>-117025.713</v>
      </c>
      <c r="K176" s="91">
        <f ca="1">-K175*(J174+K174)/2</f>
        <v>-106098.74099999999</v>
      </c>
    </row>
    <row r="177" spans="3:11" ht="15.75" customHeight="1">
      <c r="C177" s="111"/>
      <c r="D177" s="102"/>
      <c r="E177" s="102"/>
      <c r="F177" s="102"/>
      <c r="G177" s="102"/>
      <c r="H177" s="102"/>
      <c r="I177" s="102"/>
      <c r="J177" s="102"/>
      <c r="K177" s="102"/>
    </row>
    <row r="178" spans="3:11" ht="15.75" customHeight="1">
      <c r="C178" s="137" t="s">
        <v>202</v>
      </c>
      <c r="E178" s="91"/>
      <c r="F178" s="91"/>
    </row>
    <row r="179" spans="3:11" ht="15.75" customHeight="1">
      <c r="C179" s="44" t="s">
        <v>203</v>
      </c>
      <c r="F179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</row>
    <row r="180" spans="3:11" ht="15.75" customHeight="1">
      <c r="C180" s="44" t="s">
        <v>73</v>
      </c>
      <c r="D180" s="91"/>
      <c r="E180" s="91"/>
      <c r="F180" s="91">
        <f>F26</f>
        <v>0</v>
      </c>
      <c r="G180" s="91">
        <f ca="1">G179*(F53+G53)/2</f>
        <v>0</v>
      </c>
      <c r="H180" s="91">
        <f ca="1">H179*(G53+H53)/2</f>
        <v>0</v>
      </c>
      <c r="I180" s="91">
        <f ca="1">I179*(H53+I53)/2</f>
        <v>0</v>
      </c>
      <c r="J180" s="91">
        <f ca="1">J179*(I53+J53)/2</f>
        <v>0</v>
      </c>
      <c r="K180" s="91">
        <f ca="1">K179*(J53+K53)/2</f>
        <v>0</v>
      </c>
    </row>
  </sheetData>
  <mergeCells count="1">
    <mergeCell ref="G125:K125"/>
  </mergeCells>
  <conditionalFormatting sqref="C45">
    <cfRule type="expression" dxfId="4" priority="2">
      <formula>#REF!=$C45</formula>
    </cfRule>
  </conditionalFormatting>
  <dataValidations count="2">
    <dataValidation type="list" allowBlank="1" showInputMessage="1" showErrorMessage="1" sqref="C3" xr:uid="{00000000-0002-0000-0700-000000000000}">
      <formula1>"$ bns except per share,$ mm except per share,$ in thousands except per share"</formula1>
      <formula2>0</formula2>
    </dataValidation>
    <dataValidation type="list" allowBlank="1" showInputMessage="1" showErrorMessage="1" sqref="D7" xr:uid="{00000000-0002-0000-0700-000001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O176"/>
  <sheetViews>
    <sheetView showGridLines="0" topLeftCell="A8" zoomScale="116" zoomScaleNormal="116" workbookViewId="0">
      <selection activeCell="M24" sqref="M24"/>
    </sheetView>
  </sheetViews>
  <sheetFormatPr baseColWidth="10" defaultColWidth="11" defaultRowHeight="16"/>
  <cols>
    <col min="1" max="1" width="2.5" customWidth="1"/>
    <col min="2" max="2" width="2.1640625" customWidth="1"/>
    <col min="3" max="3" width="26.1640625" customWidth="1"/>
    <col min="4" max="4" width="12.6640625" customWidth="1"/>
    <col min="7" max="7" width="12.5" customWidth="1"/>
    <col min="12" max="12" width="2.1640625" customWidth="1"/>
  </cols>
  <sheetData>
    <row r="1" spans="2:15" ht="16.5" customHeight="1"/>
    <row r="2" spans="2:15" ht="16.5" customHeight="1">
      <c r="B2" t="s">
        <v>0</v>
      </c>
      <c r="C2" s="2" t="str">
        <f>"Financial Statement Model for "&amp;D5</f>
        <v>Financial Statement Model for StandardAero</v>
      </c>
      <c r="D2" s="3"/>
      <c r="E2" s="3"/>
      <c r="F2" s="3"/>
      <c r="G2" s="3"/>
      <c r="H2" s="3"/>
      <c r="I2" s="3"/>
      <c r="J2" s="3"/>
      <c r="K2" s="3"/>
    </row>
    <row r="3" spans="2:15" ht="15.75" customHeight="1">
      <c r="C3" s="4" t="s">
        <v>1</v>
      </c>
      <c r="D3" s="5"/>
      <c r="E3" s="5"/>
      <c r="F3" s="5"/>
      <c r="G3" s="5"/>
      <c r="H3" s="5"/>
    </row>
    <row r="5" spans="2:15" ht="15.75" customHeight="1">
      <c r="C5" s="282" t="s">
        <v>3</v>
      </c>
      <c r="D5" s="283" t="s">
        <v>4</v>
      </c>
    </row>
    <row r="6" spans="2:15" ht="15.75" customHeight="1">
      <c r="C6" s="282" t="s">
        <v>5</v>
      </c>
      <c r="D6" s="283" t="s">
        <v>6</v>
      </c>
    </row>
    <row r="7" spans="2:15" ht="15.75" customHeight="1">
      <c r="C7" t="s">
        <v>377</v>
      </c>
      <c r="D7" s="292">
        <v>1</v>
      </c>
    </row>
    <row r="8" spans="2:15" ht="15.75" customHeight="1">
      <c r="C8" t="s">
        <v>7</v>
      </c>
      <c r="D8" s="284">
        <v>25.59</v>
      </c>
    </row>
    <row r="9" spans="2:15" ht="15.75" customHeight="1">
      <c r="C9" t="s">
        <v>8</v>
      </c>
      <c r="D9" s="285">
        <v>46119</v>
      </c>
    </row>
    <row r="10" spans="2:15" ht="15.75" customHeight="1">
      <c r="C10" s="282" t="s">
        <v>9</v>
      </c>
      <c r="D10" s="286">
        <v>46022</v>
      </c>
    </row>
    <row r="11" spans="2:15" ht="15.75" customHeight="1">
      <c r="C11" t="s">
        <v>10</v>
      </c>
      <c r="D11" s="287">
        <v>334294</v>
      </c>
      <c r="M11" t="s">
        <v>11</v>
      </c>
    </row>
    <row r="13" spans="2:15" ht="15.75" customHeight="1">
      <c r="B13" t="s">
        <v>0</v>
      </c>
      <c r="C13" s="57" t="s">
        <v>61</v>
      </c>
      <c r="D13" s="6"/>
      <c r="E13" s="6"/>
      <c r="F13" s="6"/>
      <c r="G13" s="6"/>
      <c r="H13" s="6"/>
      <c r="I13" s="6"/>
      <c r="J13" s="6"/>
      <c r="K13" s="6"/>
    </row>
    <row r="14" spans="2:15" ht="15.75" customHeight="1">
      <c r="C14" t="s">
        <v>22</v>
      </c>
      <c r="D14" s="58">
        <f>E14-1</f>
        <v>2023</v>
      </c>
      <c r="E14" s="58">
        <f>F14-1</f>
        <v>2024</v>
      </c>
      <c r="F14" s="58">
        <f>YEAR(D10)</f>
        <v>2025</v>
      </c>
      <c r="G14" s="59">
        <f>F14+1</f>
        <v>2026</v>
      </c>
      <c r="H14" s="59">
        <f>G14+1</f>
        <v>2027</v>
      </c>
      <c r="I14" s="59">
        <f>H14+1</f>
        <v>2028</v>
      </c>
      <c r="J14" s="59">
        <f>I14+1</f>
        <v>2029</v>
      </c>
      <c r="K14" s="59">
        <f>J14+1</f>
        <v>2030</v>
      </c>
    </row>
    <row r="15" spans="2:15" ht="15.75" customHeight="1">
      <c r="C15" s="30" t="s">
        <v>23</v>
      </c>
      <c r="D15" s="31">
        <f>EOMONTH(E15,-12)</f>
        <v>45291</v>
      </c>
      <c r="E15" s="31">
        <f>EOMONTH(F15,-12)</f>
        <v>45657</v>
      </c>
      <c r="F15" s="31">
        <f>D10</f>
        <v>46022</v>
      </c>
      <c r="G15" s="31">
        <f>EOMONTH(F15,12)</f>
        <v>46387</v>
      </c>
      <c r="H15" s="31">
        <f>EOMONTH(G15,12)</f>
        <v>46752</v>
      </c>
      <c r="I15" s="31">
        <f>EOMONTH(H15,12)</f>
        <v>47118</v>
      </c>
      <c r="J15" s="31">
        <f>EOMONTH(I15,12)</f>
        <v>47483</v>
      </c>
      <c r="K15" s="31">
        <f>EOMONTH(J15,12)</f>
        <v>47848</v>
      </c>
      <c r="M15" s="57" t="s">
        <v>2</v>
      </c>
      <c r="N15" s="6"/>
      <c r="O15" s="6"/>
    </row>
    <row r="16" spans="2:15" ht="15.75" customHeight="1">
      <c r="C16" s="60"/>
      <c r="D16" s="61"/>
      <c r="E16" s="62"/>
      <c r="F16" s="62"/>
      <c r="G16" s="63"/>
      <c r="H16" s="64"/>
      <c r="I16" s="64"/>
      <c r="J16" s="62"/>
      <c r="K16" s="62"/>
    </row>
    <row r="17" spans="3:14" ht="15.75" customHeight="1">
      <c r="C17" t="s">
        <v>386</v>
      </c>
      <c r="D17" s="49">
        <v>4563284</v>
      </c>
      <c r="E17" s="49">
        <v>5237161</v>
      </c>
      <c r="F17" s="49">
        <v>6062513</v>
      </c>
      <c r="G17" s="91">
        <f>F17*(1+G39)</f>
        <v>6971889.9499999993</v>
      </c>
      <c r="H17" s="91">
        <f>G17*(1+H39)</f>
        <v>7878235.6434999984</v>
      </c>
      <c r="I17" s="91">
        <f>H17*(1+I39)</f>
        <v>8823623.9207199998</v>
      </c>
      <c r="J17" s="91">
        <f>I17*(1+J39)</f>
        <v>9794222.5519992001</v>
      </c>
      <c r="K17" s="91">
        <f>J17*(1+K39)</f>
        <v>10773644.807199121</v>
      </c>
    </row>
    <row r="18" spans="3:14" ht="15.75" customHeight="1">
      <c r="C18" t="s">
        <v>66</v>
      </c>
      <c r="D18" s="49">
        <v>-3927965</v>
      </c>
      <c r="E18" s="49">
        <v>-4483019</v>
      </c>
      <c r="F18" s="49">
        <v>-5165060</v>
      </c>
      <c r="G18" s="91">
        <f>G19-G17</f>
        <v>-5912162.6775999991</v>
      </c>
      <c r="H18" s="91">
        <f>H19-H17</f>
        <v>-6657109.1187574985</v>
      </c>
      <c r="I18" s="91">
        <f>I19-I17</f>
        <v>-7411844.0934047997</v>
      </c>
      <c r="J18" s="91">
        <f>J19-J17</f>
        <v>-8197764.2760233302</v>
      </c>
      <c r="K18" s="91">
        <f>K19-K17</f>
        <v>-8995993.4140112661</v>
      </c>
    </row>
    <row r="19" spans="3:14" ht="15.75" customHeight="1">
      <c r="C19" s="72" t="s">
        <v>67</v>
      </c>
      <c r="D19" s="98">
        <f>SUM(D17:D18)</f>
        <v>635319</v>
      </c>
      <c r="E19" s="98">
        <f>SUM(E17:E18)</f>
        <v>754142</v>
      </c>
      <c r="F19" s="98">
        <f>SUM(F17:F18)</f>
        <v>897453</v>
      </c>
      <c r="G19" s="102">
        <f>G17*G40</f>
        <v>1059727.2723999999</v>
      </c>
      <c r="H19" s="102">
        <f>H17*H40</f>
        <v>1221126.5247424997</v>
      </c>
      <c r="I19" s="102">
        <f>I17*I40</f>
        <v>1411779.8273151999</v>
      </c>
      <c r="J19" s="102">
        <f>J17*J40</f>
        <v>1596458.2759758697</v>
      </c>
      <c r="K19" s="102">
        <f>K17*K40</f>
        <v>1777651.3931878549</v>
      </c>
    </row>
    <row r="20" spans="3:14" ht="15.75" customHeight="1">
      <c r="C20" t="s">
        <v>68</v>
      </c>
      <c r="D20" s="49">
        <v>-93681</v>
      </c>
      <c r="E20" s="49">
        <v>-95457</v>
      </c>
      <c r="F20" s="49">
        <v>-98681</v>
      </c>
      <c r="G20" s="49">
        <v>-91258</v>
      </c>
      <c r="H20" s="49">
        <v>-84535</v>
      </c>
      <c r="I20" s="49">
        <v>-85364</v>
      </c>
      <c r="J20" s="49">
        <v>-84976</v>
      </c>
      <c r="K20" s="49">
        <v>-87197</v>
      </c>
      <c r="M20" t="s">
        <v>384</v>
      </c>
    </row>
    <row r="21" spans="3:14" ht="15.75" customHeight="1">
      <c r="C21" t="s">
        <v>70</v>
      </c>
      <c r="D21" s="49">
        <v>-202766</v>
      </c>
      <c r="E21" s="49">
        <v>-254092</v>
      </c>
      <c r="F21" s="49">
        <v>-247703</v>
      </c>
      <c r="G21" s="91">
        <f>-G17*G41</f>
        <v>-285847.48794999998</v>
      </c>
      <c r="H21" s="91">
        <f>-H17*H41</f>
        <v>-315129.42573999992</v>
      </c>
      <c r="I21" s="91">
        <f>-I17*I41</f>
        <v>-344121.33290808002</v>
      </c>
      <c r="J21" s="91">
        <f>-J17*J41</f>
        <v>-372180.4569759696</v>
      </c>
      <c r="K21" s="91">
        <f>-K17*K41</f>
        <v>-398624.85786636744</v>
      </c>
    </row>
    <row r="22" spans="3:14" ht="15.75" customHeight="1">
      <c r="C22" t="s">
        <v>71</v>
      </c>
      <c r="D22" s="49">
        <v>-1514</v>
      </c>
      <c r="E22" s="49">
        <v>-1374</v>
      </c>
      <c r="F22" s="49">
        <v>0</v>
      </c>
      <c r="G22" s="91">
        <f>F22</f>
        <v>0</v>
      </c>
      <c r="H22" s="91">
        <f>G22</f>
        <v>0</v>
      </c>
      <c r="I22" s="91">
        <f>H22</f>
        <v>0</v>
      </c>
      <c r="J22" s="91">
        <f>I22</f>
        <v>0</v>
      </c>
      <c r="K22" s="91">
        <f>J22</f>
        <v>0</v>
      </c>
    </row>
    <row r="23" spans="3:14" ht="15.75" customHeight="1">
      <c r="C23" s="72" t="s">
        <v>72</v>
      </c>
      <c r="D23" s="98">
        <f t="shared" ref="D23:K23" si="0">SUM(D19:D22)</f>
        <v>337358</v>
      </c>
      <c r="E23" s="98">
        <f t="shared" si="0"/>
        <v>403219</v>
      </c>
      <c r="F23" s="98">
        <f t="shared" si="0"/>
        <v>551069</v>
      </c>
      <c r="G23" s="102">
        <f t="shared" si="0"/>
        <v>682621.78444999992</v>
      </c>
      <c r="H23" s="102">
        <f t="shared" si="0"/>
        <v>821462.09900249983</v>
      </c>
      <c r="I23" s="102">
        <f t="shared" si="0"/>
        <v>982294.49440711993</v>
      </c>
      <c r="J23" s="102">
        <f t="shared" si="0"/>
        <v>1139301.8189999</v>
      </c>
      <c r="K23" s="102">
        <f t="shared" si="0"/>
        <v>1291829.5353214876</v>
      </c>
      <c r="M23" s="72"/>
    </row>
    <row r="24" spans="3:14" ht="15.75" customHeight="1">
      <c r="C24" t="s">
        <v>73</v>
      </c>
      <c r="D24" s="49">
        <v>0</v>
      </c>
      <c r="E24" s="49">
        <v>0</v>
      </c>
      <c r="F24" s="49">
        <v>0</v>
      </c>
      <c r="G24" s="91">
        <f ca="1">G176</f>
        <v>0</v>
      </c>
      <c r="H24" s="91">
        <f ca="1">H176</f>
        <v>0</v>
      </c>
      <c r="I24" s="91">
        <f ca="1">I176</f>
        <v>0</v>
      </c>
      <c r="J24" s="91">
        <f ca="1">J176</f>
        <v>0</v>
      </c>
      <c r="K24" s="91">
        <f ca="1">K176</f>
        <v>0</v>
      </c>
    </row>
    <row r="25" spans="3:14" ht="15.75" customHeight="1">
      <c r="C25" t="s">
        <v>74</v>
      </c>
      <c r="D25" s="49">
        <v>-309645</v>
      </c>
      <c r="E25" s="49">
        <v>-282507</v>
      </c>
      <c r="F25" s="49">
        <v>-174217</v>
      </c>
      <c r="G25" s="91">
        <f ca="1">G162</f>
        <v>-138781.62900000002</v>
      </c>
      <c r="H25" s="91">
        <f ca="1">H162</f>
        <v>-134154.65700000001</v>
      </c>
      <c r="I25" s="91">
        <f ca="1">I162</f>
        <v>-126377.685</v>
      </c>
      <c r="J25" s="91">
        <f ca="1">J162</f>
        <v>-117025.713</v>
      </c>
      <c r="K25" s="91">
        <f ca="1">K162</f>
        <v>-106098.74099999999</v>
      </c>
    </row>
    <row r="26" spans="3:14" ht="15.75" customHeight="1">
      <c r="C26" t="s">
        <v>76</v>
      </c>
      <c r="D26" s="49">
        <v>-19921</v>
      </c>
      <c r="E26" s="49">
        <v>-23700</v>
      </c>
      <c r="F26" s="49">
        <v>0</v>
      </c>
      <c r="G26" s="91">
        <f t="shared" ref="G26:K27" si="1">F26</f>
        <v>0</v>
      </c>
      <c r="H26" s="91">
        <f t="shared" si="1"/>
        <v>0</v>
      </c>
      <c r="I26" s="91">
        <f t="shared" si="1"/>
        <v>0</v>
      </c>
      <c r="J26" s="91">
        <f t="shared" si="1"/>
        <v>0</v>
      </c>
      <c r="K26" s="91">
        <f t="shared" si="1"/>
        <v>0</v>
      </c>
    </row>
    <row r="27" spans="3:14" ht="15.75" customHeight="1">
      <c r="C27" t="s">
        <v>77</v>
      </c>
      <c r="D27" s="49">
        <v>-6182</v>
      </c>
      <c r="E27" s="49">
        <v>-15255</v>
      </c>
      <c r="F27" s="49">
        <v>0</v>
      </c>
      <c r="G27" s="91">
        <f t="shared" si="1"/>
        <v>0</v>
      </c>
      <c r="H27" s="91">
        <f t="shared" si="1"/>
        <v>0</v>
      </c>
      <c r="I27" s="91">
        <f t="shared" si="1"/>
        <v>0</v>
      </c>
      <c r="J27" s="91">
        <f t="shared" si="1"/>
        <v>0</v>
      </c>
      <c r="K27" s="91">
        <f t="shared" si="1"/>
        <v>0</v>
      </c>
    </row>
    <row r="28" spans="3:14" ht="15.75" customHeight="1">
      <c r="C28" t="s">
        <v>78</v>
      </c>
      <c r="D28" s="49">
        <v>3509</v>
      </c>
      <c r="E28" s="49">
        <v>0</v>
      </c>
      <c r="F28" s="49">
        <v>0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</row>
    <row r="29" spans="3:14" ht="15.75" customHeight="1">
      <c r="C29" s="72" t="s">
        <v>79</v>
      </c>
      <c r="D29" s="98">
        <f t="shared" ref="D29:K29" si="2">SUM(D23:D28)</f>
        <v>5119</v>
      </c>
      <c r="E29" s="98">
        <f t="shared" si="2"/>
        <v>81757</v>
      </c>
      <c r="F29" s="98">
        <f t="shared" si="2"/>
        <v>376852</v>
      </c>
      <c r="G29" s="102">
        <f t="shared" ca="1" si="2"/>
        <v>543840.15544999996</v>
      </c>
      <c r="H29" s="102">
        <f t="shared" ca="1" si="2"/>
        <v>687307.44200249983</v>
      </c>
      <c r="I29" s="102">
        <f t="shared" ca="1" si="2"/>
        <v>855916.80940711987</v>
      </c>
      <c r="J29" s="102">
        <f t="shared" ca="1" si="2"/>
        <v>1022276.1059999</v>
      </c>
      <c r="K29" s="102">
        <f t="shared" ca="1" si="2"/>
        <v>1185730.7943214877</v>
      </c>
      <c r="M29" s="72"/>
      <c r="N29" s="72"/>
    </row>
    <row r="30" spans="3:14" ht="15.75" customHeight="1">
      <c r="C30" t="s">
        <v>80</v>
      </c>
      <c r="D30" s="49">
        <v>-40180</v>
      </c>
      <c r="E30" s="49">
        <v>-70783</v>
      </c>
      <c r="F30" s="49">
        <v>-99435</v>
      </c>
      <c r="G30" s="91">
        <f ca="1">-G29*G42</f>
        <v>-135960.03886249999</v>
      </c>
      <c r="H30" s="91">
        <f ca="1">-H29*H42</f>
        <v>-171826.86050062496</v>
      </c>
      <c r="I30" s="91">
        <f ca="1">-I29*I42</f>
        <v>-213979.20235177997</v>
      </c>
      <c r="J30" s="91">
        <f ca="1">-J29*J42</f>
        <v>-255569.02649997501</v>
      </c>
      <c r="K30" s="91">
        <f ca="1">-K29*K42</f>
        <v>-296432.69858037191</v>
      </c>
    </row>
    <row r="31" spans="3:14" ht="15.75" customHeight="1">
      <c r="C31" s="72" t="s">
        <v>81</v>
      </c>
      <c r="D31" s="98">
        <f t="shared" ref="D31:K31" si="3">SUM(D29:D30)</f>
        <v>-35061</v>
      </c>
      <c r="E31" s="98">
        <f t="shared" si="3"/>
        <v>10974</v>
      </c>
      <c r="F31" s="98">
        <f t="shared" si="3"/>
        <v>277417</v>
      </c>
      <c r="G31" s="102">
        <f t="shared" ca="1" si="3"/>
        <v>407880.11658749997</v>
      </c>
      <c r="H31" s="102">
        <f t="shared" ca="1" si="3"/>
        <v>515480.58150187484</v>
      </c>
      <c r="I31" s="102">
        <f t="shared" ca="1" si="3"/>
        <v>641937.60705533996</v>
      </c>
      <c r="J31" s="102">
        <f t="shared" ca="1" si="3"/>
        <v>766707.07949992502</v>
      </c>
      <c r="K31" s="102">
        <f t="shared" ca="1" si="3"/>
        <v>889298.09574111574</v>
      </c>
      <c r="M31" s="72"/>
    </row>
    <row r="32" spans="3:14" ht="15.75" customHeight="1">
      <c r="C32" s="44"/>
      <c r="D32" s="91"/>
      <c r="E32" s="91"/>
      <c r="F32" s="91"/>
      <c r="G32" s="91"/>
      <c r="H32" s="91"/>
      <c r="I32" s="91"/>
      <c r="J32" s="91"/>
      <c r="K32" s="91"/>
    </row>
    <row r="33" spans="2:15" ht="15.75" customHeight="1">
      <c r="C33" s="95" t="s">
        <v>82</v>
      </c>
      <c r="D33" s="49">
        <v>197104</v>
      </c>
      <c r="E33" s="49">
        <v>188164</v>
      </c>
      <c r="F33" s="49">
        <v>193664</v>
      </c>
      <c r="G33" s="91">
        <f>G132</f>
        <v>193183</v>
      </c>
      <c r="H33" s="91">
        <f>H132</f>
        <v>194236.79999999999</v>
      </c>
      <c r="I33" s="91">
        <f>I132</f>
        <v>204408.45600000001</v>
      </c>
      <c r="J33" s="91">
        <f>J132</f>
        <v>214221.59616000002</v>
      </c>
      <c r="K33" s="91">
        <f>K132</f>
        <v>227266.55577600002</v>
      </c>
    </row>
    <row r="34" spans="2:15" ht="15.75" customHeight="1">
      <c r="C34" s="97" t="s">
        <v>83</v>
      </c>
      <c r="D34" s="98">
        <f t="shared" ref="D34:K34" si="4">D23+D33</f>
        <v>534462</v>
      </c>
      <c r="E34" s="98">
        <f t="shared" si="4"/>
        <v>591383</v>
      </c>
      <c r="F34" s="98">
        <f t="shared" si="4"/>
        <v>744733</v>
      </c>
      <c r="G34" s="102">
        <f t="shared" si="4"/>
        <v>875804.78444999992</v>
      </c>
      <c r="H34" s="102">
        <f t="shared" si="4"/>
        <v>1015698.8990024999</v>
      </c>
      <c r="I34" s="102">
        <f t="shared" si="4"/>
        <v>1186702.9504071199</v>
      </c>
      <c r="J34" s="102">
        <f t="shared" si="4"/>
        <v>1353523.4151599</v>
      </c>
      <c r="K34" s="102">
        <f t="shared" si="4"/>
        <v>1519096.0910974876</v>
      </c>
      <c r="M34" s="72"/>
    </row>
    <row r="35" spans="2:15" ht="15.75" customHeight="1">
      <c r="C35" s="95" t="s">
        <v>85</v>
      </c>
      <c r="D35" s="49">
        <v>0</v>
      </c>
      <c r="E35" s="49">
        <v>17376</v>
      </c>
      <c r="F35" s="49">
        <v>13237</v>
      </c>
      <c r="G35" s="49">
        <f>F35</f>
        <v>13237</v>
      </c>
      <c r="H35" s="49">
        <f>G35</f>
        <v>13237</v>
      </c>
      <c r="I35" s="49">
        <f>H35</f>
        <v>13237</v>
      </c>
      <c r="J35" s="49">
        <f>I35</f>
        <v>13237</v>
      </c>
      <c r="K35" s="49">
        <f>J35</f>
        <v>13237</v>
      </c>
    </row>
    <row r="36" spans="2:15" ht="15.75" customHeight="1">
      <c r="C36" s="97" t="s">
        <v>385</v>
      </c>
      <c r="D36" s="98">
        <f t="shared" ref="D36:K36" si="5">D34+D35</f>
        <v>534462</v>
      </c>
      <c r="E36" s="98">
        <f t="shared" si="5"/>
        <v>608759</v>
      </c>
      <c r="F36" s="98">
        <f t="shared" si="5"/>
        <v>757970</v>
      </c>
      <c r="G36" s="102">
        <f t="shared" si="5"/>
        <v>889041.78444999992</v>
      </c>
      <c r="H36" s="102">
        <f t="shared" si="5"/>
        <v>1028935.8990024999</v>
      </c>
      <c r="I36" s="102">
        <f t="shared" si="5"/>
        <v>1199939.9504071199</v>
      </c>
      <c r="J36" s="102">
        <f t="shared" si="5"/>
        <v>1366760.4151599</v>
      </c>
      <c r="K36" s="102">
        <f t="shared" si="5"/>
        <v>1532333.0910974876</v>
      </c>
      <c r="M36" s="72"/>
    </row>
    <row r="37" spans="2:15" ht="15.75" customHeight="1">
      <c r="C37" s="44"/>
      <c r="G37" s="294"/>
    </row>
    <row r="38" spans="2:15" ht="15.75" customHeight="1">
      <c r="C38" s="26" t="s">
        <v>21</v>
      </c>
    </row>
    <row r="39" spans="2:15" ht="15.75" customHeight="1">
      <c r="C39" s="44" t="s">
        <v>24</v>
      </c>
      <c r="D39" s="42"/>
      <c r="E39" s="42">
        <f>(E17-D17)/D17</f>
        <v>0.14767369289310067</v>
      </c>
      <c r="F39" s="42">
        <f>(F17-E17)/E17</f>
        <v>0.15759530783949549</v>
      </c>
      <c r="G39" s="43">
        <v>0.15</v>
      </c>
      <c r="H39" s="43">
        <v>0.13</v>
      </c>
      <c r="I39" s="43">
        <v>0.12</v>
      </c>
      <c r="J39" s="43">
        <v>0.11</v>
      </c>
      <c r="K39" s="43">
        <v>0.1</v>
      </c>
      <c r="M39" t="s">
        <v>25</v>
      </c>
      <c r="O39" s="43"/>
    </row>
    <row r="40" spans="2:15" ht="15.75" customHeight="1">
      <c r="C40" s="44" t="s">
        <v>32</v>
      </c>
      <c r="D40" s="42">
        <f>D19/D17</f>
        <v>0.13922407634501818</v>
      </c>
      <c r="E40" s="42">
        <f>E19/E17</f>
        <v>0.14399824637814265</v>
      </c>
      <c r="F40" s="42">
        <f>F19/F17</f>
        <v>0.14803316710413653</v>
      </c>
      <c r="G40" s="43">
        <v>0.152</v>
      </c>
      <c r="H40" s="43">
        <v>0.155</v>
      </c>
      <c r="I40" s="43">
        <v>0.16</v>
      </c>
      <c r="J40" s="43">
        <v>0.16300000000000001</v>
      </c>
      <c r="K40" s="43">
        <v>0.16500000000000001</v>
      </c>
      <c r="M40" t="s">
        <v>33</v>
      </c>
      <c r="O40" s="43"/>
    </row>
    <row r="41" spans="2:15" ht="15.75" customHeight="1">
      <c r="C41" s="44" t="s">
        <v>36</v>
      </c>
      <c r="D41" s="42">
        <f>-D21/D17</f>
        <v>4.4434227630802729E-2</v>
      </c>
      <c r="E41" s="42">
        <f>-E21/E17</f>
        <v>4.8517125977223158E-2</v>
      </c>
      <c r="F41" s="42">
        <f>-F21/F17</f>
        <v>4.0858139190794313E-2</v>
      </c>
      <c r="G41" s="43">
        <v>4.1000000000000002E-2</v>
      </c>
      <c r="H41" s="43">
        <v>0.04</v>
      </c>
      <c r="I41" s="43">
        <v>3.9E-2</v>
      </c>
      <c r="J41" s="43">
        <v>3.7999999999999999E-2</v>
      </c>
      <c r="K41" s="43">
        <v>3.6999999999999998E-2</v>
      </c>
      <c r="M41" t="s">
        <v>37</v>
      </c>
      <c r="O41" s="43"/>
    </row>
    <row r="42" spans="2:15" ht="15.75" customHeight="1">
      <c r="C42" s="44" t="s">
        <v>40</v>
      </c>
      <c r="D42" s="42">
        <f>-D30/D29</f>
        <v>7.8491892947841375</v>
      </c>
      <c r="E42" s="42">
        <f>-E30/E29</f>
        <v>0.86577296133664394</v>
      </c>
      <c r="F42" s="42">
        <f>-F30/F29</f>
        <v>0.26385689872947471</v>
      </c>
      <c r="G42" s="43">
        <v>0.25</v>
      </c>
      <c r="H42" s="43">
        <v>0.25</v>
      </c>
      <c r="I42" s="43">
        <v>0.25</v>
      </c>
      <c r="J42" s="43">
        <v>0.25</v>
      </c>
      <c r="K42" s="43">
        <v>0.25</v>
      </c>
      <c r="M42" t="s">
        <v>41</v>
      </c>
      <c r="O42" s="43"/>
    </row>
    <row r="43" spans="2:15" ht="15.75" customHeight="1">
      <c r="C43" s="44"/>
      <c r="G43" s="294"/>
    </row>
    <row r="44" spans="2:15" ht="15.75" customHeight="1">
      <c r="B44" t="s">
        <v>0</v>
      </c>
      <c r="C44" s="57" t="s">
        <v>97</v>
      </c>
      <c r="D44" s="31"/>
      <c r="E44" s="31"/>
      <c r="F44" s="31"/>
      <c r="G44" s="6"/>
      <c r="H44" s="6"/>
      <c r="I44" s="6"/>
      <c r="J44" s="6"/>
      <c r="K44" s="6"/>
    </row>
    <row r="45" spans="2:15" ht="15.75" customHeight="1">
      <c r="C45" s="79" t="str">
        <f t="shared" ref="C45:K45" si="6">C14</f>
        <v xml:space="preserve">Fiscal year  </v>
      </c>
      <c r="D45" s="80">
        <f t="shared" si="6"/>
        <v>2023</v>
      </c>
      <c r="E45" s="81">
        <f t="shared" si="6"/>
        <v>2024</v>
      </c>
      <c r="F45" s="81">
        <f t="shared" si="6"/>
        <v>2025</v>
      </c>
      <c r="G45" s="83">
        <f t="shared" si="6"/>
        <v>2026</v>
      </c>
      <c r="H45" s="83">
        <f t="shared" si="6"/>
        <v>2027</v>
      </c>
      <c r="I45" s="83">
        <f t="shared" si="6"/>
        <v>2028</v>
      </c>
      <c r="J45" s="83">
        <f t="shared" si="6"/>
        <v>2029</v>
      </c>
      <c r="K45" s="83">
        <f t="shared" si="6"/>
        <v>2030</v>
      </c>
    </row>
    <row r="46" spans="2:15" ht="15.75" customHeight="1">
      <c r="C46" s="6" t="str">
        <f t="shared" ref="C46:K46" si="7">C15</f>
        <v>Fiscal year end date</v>
      </c>
      <c r="D46" s="84">
        <f t="shared" si="7"/>
        <v>45291</v>
      </c>
      <c r="E46" s="85">
        <f t="shared" si="7"/>
        <v>45657</v>
      </c>
      <c r="F46" s="85">
        <f t="shared" si="7"/>
        <v>46022</v>
      </c>
      <c r="G46" s="85">
        <f t="shared" si="7"/>
        <v>46387</v>
      </c>
      <c r="H46" s="85">
        <f t="shared" si="7"/>
        <v>46752</v>
      </c>
      <c r="I46" s="85">
        <f t="shared" si="7"/>
        <v>47118</v>
      </c>
      <c r="J46" s="85">
        <f t="shared" si="7"/>
        <v>47483</v>
      </c>
      <c r="K46" s="85">
        <f t="shared" si="7"/>
        <v>47848</v>
      </c>
    </row>
    <row r="47" spans="2:15" ht="15.75" customHeight="1">
      <c r="C47" s="25" t="s">
        <v>99</v>
      </c>
      <c r="D47" s="86"/>
      <c r="E47" s="86"/>
      <c r="F47" s="86"/>
      <c r="G47" s="86"/>
      <c r="H47" s="86"/>
      <c r="I47" s="86"/>
      <c r="J47" s="86"/>
      <c r="K47" s="86"/>
    </row>
    <row r="48" spans="2:15" ht="15.75" customHeight="1">
      <c r="C48" s="25" t="s">
        <v>100</v>
      </c>
      <c r="D48" s="86"/>
      <c r="E48" s="86"/>
      <c r="F48" s="86"/>
      <c r="G48" s="86"/>
      <c r="H48" s="86"/>
      <c r="I48" s="86"/>
      <c r="J48" s="86"/>
      <c r="K48" s="86"/>
    </row>
    <row r="49" spans="3:15" ht="15.75" customHeight="1">
      <c r="C49" s="89" t="s">
        <v>101</v>
      </c>
      <c r="D49" s="49"/>
      <c r="E49" s="49">
        <v>102581</v>
      </c>
      <c r="F49" s="49">
        <v>289717</v>
      </c>
      <c r="G49" s="91">
        <f ca="1">F49+G116</f>
        <v>508735.19912014925</v>
      </c>
      <c r="H49" s="91">
        <f ca="1">G49+H116</f>
        <v>599746.22129373881</v>
      </c>
      <c r="I49" s="91">
        <f ca="1">H49+I116</f>
        <v>806584.72302621207</v>
      </c>
      <c r="J49" s="91">
        <f ca="1">I49+J116</f>
        <v>1053967.0907735797</v>
      </c>
      <c r="K49" s="91">
        <f ca="1">J49+K116</f>
        <v>1421587.1487999398</v>
      </c>
    </row>
    <row r="50" spans="3:15" ht="15.75" customHeight="1">
      <c r="C50" s="89" t="s">
        <v>102</v>
      </c>
      <c r="D50" s="49"/>
      <c r="E50" s="49">
        <v>580668</v>
      </c>
      <c r="F50" s="49">
        <v>654390</v>
      </c>
      <c r="G50" s="91">
        <f>F50*(1+G39)</f>
        <v>752548.5</v>
      </c>
      <c r="H50" s="91">
        <f>G50*(1+H39)</f>
        <v>850379.80499999993</v>
      </c>
      <c r="I50" s="91">
        <f>H50*(1+I39)</f>
        <v>952425.38159999996</v>
      </c>
      <c r="J50" s="91">
        <f>I50*(1+J39)</f>
        <v>1057192.1735760001</v>
      </c>
      <c r="K50" s="91">
        <f>J50*(1+K39)</f>
        <v>1162911.3909336003</v>
      </c>
    </row>
    <row r="51" spans="3:15" ht="15.75" customHeight="1">
      <c r="C51" s="89" t="s">
        <v>103</v>
      </c>
      <c r="D51" s="49"/>
      <c r="E51" s="49">
        <v>915200</v>
      </c>
      <c r="F51" s="49">
        <v>1071703</v>
      </c>
      <c r="G51" s="91">
        <f>F51*(1+G39)</f>
        <v>1232458.45</v>
      </c>
      <c r="H51" s="91">
        <f>G51*(1+H39)</f>
        <v>1392678.0484999998</v>
      </c>
      <c r="I51" s="91">
        <f>H51*(1+I39)</f>
        <v>1559799.41432</v>
      </c>
      <c r="J51" s="91">
        <f>I51*(1+J39)</f>
        <v>1731377.3498952002</v>
      </c>
      <c r="K51" s="91">
        <f>J51*(1+K39)</f>
        <v>1904515.0848847204</v>
      </c>
    </row>
    <row r="52" spans="3:15" ht="15.75" customHeight="1">
      <c r="C52" s="89" t="s">
        <v>104</v>
      </c>
      <c r="D52" s="49"/>
      <c r="E52" s="49">
        <v>847018</v>
      </c>
      <c r="F52" s="49">
        <v>827691</v>
      </c>
      <c r="G52" s="91">
        <f>F52*(1+((G18-F18)/F18))</f>
        <v>947412.77715755883</v>
      </c>
      <c r="H52" s="91">
        <f>G52*(1+((H18-G18)/G18))</f>
        <v>1066789.0215435082</v>
      </c>
      <c r="I52" s="91">
        <f>H52*(1+((I18-H18)/H18))</f>
        <v>1187733.8597256008</v>
      </c>
      <c r="J52" s="91">
        <f>I52*(1+((J18-I18)/I18))</f>
        <v>1313676.0679229333</v>
      </c>
      <c r="K52" s="91">
        <f>J52*(1+((K18-J18)/J18))</f>
        <v>1441590.7627087389</v>
      </c>
    </row>
    <row r="53" spans="3:15" ht="15.75" customHeight="1">
      <c r="C53" s="89" t="s">
        <v>105</v>
      </c>
      <c r="D53" s="49"/>
      <c r="E53" s="49">
        <v>29707</v>
      </c>
      <c r="F53" s="49">
        <v>42776</v>
      </c>
      <c r="G53" s="91">
        <f>F53*(1+G39)</f>
        <v>49192.399999999994</v>
      </c>
      <c r="H53" s="91">
        <f>G53*(1+H39)</f>
        <v>55587.411999999989</v>
      </c>
      <c r="I53" s="91">
        <f>H53*(1+I39)</f>
        <v>62257.901439999994</v>
      </c>
      <c r="J53" s="91">
        <f>I53*(1+J39)</f>
        <v>69106.270598400006</v>
      </c>
      <c r="K53" s="91">
        <f>J53*(1+K39)</f>
        <v>76016.897658240006</v>
      </c>
    </row>
    <row r="54" spans="3:15" ht="15.75" customHeight="1">
      <c r="C54" s="89" t="s">
        <v>106</v>
      </c>
      <c r="D54" s="49"/>
      <c r="E54" s="49">
        <v>9960</v>
      </c>
      <c r="F54" s="49">
        <v>10182</v>
      </c>
      <c r="G54" s="91">
        <f>F54</f>
        <v>10182</v>
      </c>
      <c r="H54" s="91">
        <f>G54</f>
        <v>10182</v>
      </c>
      <c r="I54" s="91">
        <f>H54</f>
        <v>10182</v>
      </c>
      <c r="J54" s="91">
        <f>I54</f>
        <v>10182</v>
      </c>
      <c r="K54" s="91">
        <f>J54</f>
        <v>10182</v>
      </c>
    </row>
    <row r="55" spans="3:15" ht="15.75" customHeight="1">
      <c r="C55" s="93" t="s">
        <v>107</v>
      </c>
      <c r="D55" s="49"/>
      <c r="E55" s="98">
        <f t="shared" ref="E55:K55" si="8">SUM(E49:E54)</f>
        <v>2485134</v>
      </c>
      <c r="F55" s="98">
        <f t="shared" si="8"/>
        <v>2896459</v>
      </c>
      <c r="G55" s="98">
        <f t="shared" ca="1" si="8"/>
        <v>3500529.3262777082</v>
      </c>
      <c r="H55" s="98">
        <f t="shared" ca="1" si="8"/>
        <v>3975362.5083372467</v>
      </c>
      <c r="I55" s="98">
        <f t="shared" ca="1" si="8"/>
        <v>4578983.280111813</v>
      </c>
      <c r="J55" s="98">
        <f t="shared" ca="1" si="8"/>
        <v>5235500.9527661139</v>
      </c>
      <c r="K55" s="98">
        <f t="shared" ca="1" si="8"/>
        <v>6016803.2849852387</v>
      </c>
    </row>
    <row r="56" spans="3:15" ht="15.75" customHeight="1">
      <c r="C56" t="s">
        <v>108</v>
      </c>
      <c r="D56" s="49"/>
      <c r="E56" s="49">
        <v>568607</v>
      </c>
      <c r="F56" s="49">
        <v>579971</v>
      </c>
      <c r="G56" s="91">
        <f>G125</f>
        <v>602971</v>
      </c>
      <c r="H56" s="91">
        <f>H125</f>
        <v>628961</v>
      </c>
      <c r="I56" s="91">
        <f>I125</f>
        <v>658069.80000000005</v>
      </c>
      <c r="J56" s="91">
        <f>J125</f>
        <v>690380.56800000009</v>
      </c>
      <c r="K56" s="91">
        <f>K125</f>
        <v>725922.41280000005</v>
      </c>
      <c r="O56" s="91"/>
    </row>
    <row r="57" spans="3:15" ht="15.75" customHeight="1">
      <c r="C57" s="95" t="s">
        <v>109</v>
      </c>
      <c r="D57" s="49"/>
      <c r="E57" s="49">
        <v>172206</v>
      </c>
      <c r="F57" s="49">
        <v>222151</v>
      </c>
      <c r="G57" s="91">
        <f>F57</f>
        <v>222151</v>
      </c>
      <c r="H57" s="91">
        <f>G57</f>
        <v>222151</v>
      </c>
      <c r="I57" s="91">
        <f>H57</f>
        <v>222151</v>
      </c>
      <c r="J57" s="91">
        <f>I57</f>
        <v>222151</v>
      </c>
      <c r="K57" s="91">
        <f>J57</f>
        <v>222151</v>
      </c>
      <c r="O57" s="91"/>
    </row>
    <row r="58" spans="3:15" ht="15.75" customHeight="1">
      <c r="C58" s="95" t="s">
        <v>110</v>
      </c>
      <c r="D58" s="49"/>
      <c r="E58" s="49">
        <v>1004701</v>
      </c>
      <c r="F58" s="49">
        <v>920432</v>
      </c>
      <c r="G58" s="91">
        <f>F58+-77930</f>
        <v>842502</v>
      </c>
      <c r="H58" s="91">
        <f>G58+-42617</f>
        <v>799885</v>
      </c>
      <c r="I58" s="91">
        <f>H58+-42900</f>
        <v>756985</v>
      </c>
      <c r="J58" s="91">
        <f>I58+-32786</f>
        <v>724199</v>
      </c>
      <c r="K58" s="91">
        <f>J58+-34690</f>
        <v>689509</v>
      </c>
      <c r="O58" s="91"/>
    </row>
    <row r="59" spans="3:15" ht="15.75" customHeight="1">
      <c r="C59" s="95" t="s">
        <v>112</v>
      </c>
      <c r="D59" s="49"/>
      <c r="E59" s="49">
        <v>291487</v>
      </c>
      <c r="F59" s="49">
        <v>244877</v>
      </c>
      <c r="G59" s="91">
        <f>F59+-16493</f>
        <v>228384</v>
      </c>
      <c r="H59" s="91">
        <f>G59+-13531</f>
        <v>214853</v>
      </c>
      <c r="I59" s="91">
        <f>H59+-13689</f>
        <v>201164</v>
      </c>
      <c r="J59" s="91">
        <f>I59+-13626</f>
        <v>187538</v>
      </c>
      <c r="K59" s="91">
        <f>J59+-14686</f>
        <v>172852</v>
      </c>
    </row>
    <row r="60" spans="3:15" ht="15.75" customHeight="1">
      <c r="C60" s="95" t="s">
        <v>114</v>
      </c>
      <c r="D60" s="49"/>
      <c r="E60" s="49">
        <v>1685970</v>
      </c>
      <c r="F60" s="49">
        <v>1684255</v>
      </c>
      <c r="G60" s="91">
        <f>F60</f>
        <v>1684255</v>
      </c>
      <c r="H60" s="91">
        <f>G60+45000</f>
        <v>1729255</v>
      </c>
      <c r="I60" s="91">
        <f>H60+45000</f>
        <v>1774255</v>
      </c>
      <c r="J60" s="91">
        <f>I60+60000</f>
        <v>1834255</v>
      </c>
      <c r="K60" s="91">
        <f>J60+60000</f>
        <v>1894255</v>
      </c>
      <c r="M60" t="s">
        <v>383</v>
      </c>
    </row>
    <row r="61" spans="3:15" ht="15.75" customHeight="1">
      <c r="C61" s="95" t="s">
        <v>116</v>
      </c>
      <c r="D61" s="49"/>
      <c r="E61" s="49">
        <v>1079</v>
      </c>
      <c r="F61" s="49">
        <v>2832</v>
      </c>
      <c r="G61" s="91">
        <f>F61</f>
        <v>2832</v>
      </c>
      <c r="H61" s="91">
        <f>G61</f>
        <v>2832</v>
      </c>
      <c r="I61" s="91">
        <f>H61</f>
        <v>2832</v>
      </c>
      <c r="J61" s="91">
        <f>I61</f>
        <v>2832</v>
      </c>
      <c r="K61" s="91">
        <f>J61</f>
        <v>2832</v>
      </c>
    </row>
    <row r="62" spans="3:15" ht="15.75" customHeight="1">
      <c r="C62" t="s">
        <v>117</v>
      </c>
      <c r="D62" s="49"/>
      <c r="E62" s="49">
        <v>4417</v>
      </c>
      <c r="F62" s="49">
        <v>6434</v>
      </c>
      <c r="G62" s="91">
        <f>F62*(1+G39)</f>
        <v>7399.0999999999995</v>
      </c>
      <c r="H62" s="91">
        <f>G62*(1+H39)</f>
        <v>8360.9829999999984</v>
      </c>
      <c r="I62" s="91">
        <f>H62*(1+I39)</f>
        <v>9364.3009599999987</v>
      </c>
      <c r="J62" s="91">
        <f>I62*(1+J39)</f>
        <v>10394.374065599999</v>
      </c>
      <c r="K62" s="91">
        <f>J62*(1+K39)</f>
        <v>11433.81147216</v>
      </c>
    </row>
    <row r="63" spans="3:15" ht="15.75" customHeight="1">
      <c r="C63" s="97" t="s">
        <v>118</v>
      </c>
      <c r="D63" s="98"/>
      <c r="E63" s="98">
        <f t="shared" ref="E63:K63" si="9">SUM(E55:E62)</f>
        <v>6213601</v>
      </c>
      <c r="F63" s="98">
        <f t="shared" si="9"/>
        <v>6557411</v>
      </c>
      <c r="G63" s="98">
        <f t="shared" ca="1" si="9"/>
        <v>7091023.4262777083</v>
      </c>
      <c r="H63" s="98">
        <f t="shared" ca="1" si="9"/>
        <v>7581660.4913372463</v>
      </c>
      <c r="I63" s="98">
        <f t="shared" ca="1" si="9"/>
        <v>8203804.3810718125</v>
      </c>
      <c r="J63" s="98">
        <f t="shared" ca="1" si="9"/>
        <v>8907250.8948317133</v>
      </c>
      <c r="K63" s="98">
        <f t="shared" ca="1" si="9"/>
        <v>9735758.5092574004</v>
      </c>
    </row>
    <row r="64" spans="3:15" ht="15.75" customHeight="1">
      <c r="C64" s="74" t="s">
        <v>119</v>
      </c>
      <c r="D64" s="91"/>
      <c r="G64" s="91"/>
      <c r="H64" s="91"/>
      <c r="I64" s="91"/>
      <c r="J64" s="91"/>
      <c r="K64" s="91"/>
    </row>
    <row r="65" spans="3:11" ht="15.75" customHeight="1">
      <c r="C65" s="74" t="s">
        <v>120</v>
      </c>
      <c r="D65" s="91"/>
      <c r="G65" s="91"/>
      <c r="H65" s="91"/>
      <c r="I65" s="91"/>
      <c r="J65" s="91"/>
      <c r="K65" s="91"/>
    </row>
    <row r="66" spans="3:11" ht="15.75" customHeight="1">
      <c r="C66" s="89" t="s">
        <v>121</v>
      </c>
      <c r="D66" s="49"/>
      <c r="E66" s="49">
        <v>645701</v>
      </c>
      <c r="F66" s="49">
        <v>679772</v>
      </c>
      <c r="G66" s="91">
        <f>F66*(1+(G18-F18)/F18)</f>
        <v>778097.9596902082</v>
      </c>
      <c r="H66" s="91">
        <f>G66*(1+(H18-G18)/G18)</f>
        <v>876140.13774787169</v>
      </c>
      <c r="I66" s="91">
        <f>H66*(1+(I18-H18)/H18)</f>
        <v>975470.58176709816</v>
      </c>
      <c r="J66" s="91">
        <f>I66*(1+(J18-I18)/I18)</f>
        <v>1078905.3016694735</v>
      </c>
      <c r="K66" s="91">
        <f>J66*(1+(K18-J18)/J18)</f>
        <v>1183959.9995022838</v>
      </c>
    </row>
    <row r="67" spans="3:11" ht="15.75" customHeight="1">
      <c r="C67" s="89" t="s">
        <v>122</v>
      </c>
      <c r="D67" s="49"/>
      <c r="E67" s="49">
        <v>99572</v>
      </c>
      <c r="F67" s="49">
        <v>91499</v>
      </c>
      <c r="G67" s="91">
        <f>F67*(1+G39)</f>
        <v>105223.84999999999</v>
      </c>
      <c r="H67" s="91">
        <f>G67*(1+H39)</f>
        <v>118902.95049999998</v>
      </c>
      <c r="I67" s="91">
        <f>H67*(1+I39)</f>
        <v>133171.30455999999</v>
      </c>
      <c r="J67" s="91">
        <f>I67*(1+J39)</f>
        <v>147820.14806159999</v>
      </c>
      <c r="K67" s="91">
        <f>J67*(1+K39)</f>
        <v>162602.16286775999</v>
      </c>
    </row>
    <row r="68" spans="3:11" ht="15.75" customHeight="1">
      <c r="C68" s="89" t="s">
        <v>123</v>
      </c>
      <c r="D68" s="49"/>
      <c r="E68" s="49">
        <v>79134</v>
      </c>
      <c r="F68" s="49">
        <v>74008</v>
      </c>
      <c r="G68" s="91">
        <f>F68*(1+G39)</f>
        <v>85109.2</v>
      </c>
      <c r="H68" s="91">
        <f>G68*(1+H39)</f>
        <v>96173.395999999993</v>
      </c>
      <c r="I68" s="91">
        <f>H68*(1+I39)</f>
        <v>107714.20352000001</v>
      </c>
      <c r="J68" s="91">
        <f>I68*(1+J39)</f>
        <v>119562.76590720002</v>
      </c>
      <c r="K68" s="91">
        <f>J68*(1+K39)</f>
        <v>131519.04249792005</v>
      </c>
    </row>
    <row r="69" spans="3:11" ht="15.75" customHeight="1">
      <c r="C69" s="89" t="s">
        <v>124</v>
      </c>
      <c r="D69" s="49"/>
      <c r="E69" s="49">
        <v>17663</v>
      </c>
      <c r="F69" s="49">
        <v>22308</v>
      </c>
      <c r="G69" s="91">
        <f t="shared" ref="G69:K70" si="10">F69</f>
        <v>22308</v>
      </c>
      <c r="H69" s="91">
        <f t="shared" si="10"/>
        <v>22308</v>
      </c>
      <c r="I69" s="91">
        <f t="shared" si="10"/>
        <v>22308</v>
      </c>
      <c r="J69" s="91">
        <f t="shared" si="10"/>
        <v>22308</v>
      </c>
      <c r="K69" s="91">
        <f t="shared" si="10"/>
        <v>22308</v>
      </c>
    </row>
    <row r="70" spans="3:11" ht="15.75" customHeight="1">
      <c r="C70" s="89" t="s">
        <v>125</v>
      </c>
      <c r="D70" s="49"/>
      <c r="E70" s="49">
        <v>1345</v>
      </c>
      <c r="F70" s="49">
        <v>438</v>
      </c>
      <c r="G70" s="91">
        <f t="shared" si="10"/>
        <v>438</v>
      </c>
      <c r="H70" s="91">
        <f t="shared" si="10"/>
        <v>438</v>
      </c>
      <c r="I70" s="91">
        <f t="shared" si="10"/>
        <v>438</v>
      </c>
      <c r="J70" s="91">
        <f t="shared" si="10"/>
        <v>438</v>
      </c>
      <c r="K70" s="91">
        <f t="shared" si="10"/>
        <v>438</v>
      </c>
    </row>
    <row r="71" spans="3:11" ht="15.75" customHeight="1">
      <c r="C71" s="89" t="s">
        <v>126</v>
      </c>
      <c r="D71" s="49"/>
      <c r="E71" s="49">
        <v>400025</v>
      </c>
      <c r="F71" s="49">
        <v>411321</v>
      </c>
      <c r="G71" s="91">
        <f>F71*(1+G39)</f>
        <v>473019.14999999997</v>
      </c>
      <c r="H71" s="91">
        <f>G71*(1+H39)</f>
        <v>534511.63949999993</v>
      </c>
      <c r="I71" s="91">
        <f>H71*(1+I39)</f>
        <v>598653.03623999993</v>
      </c>
      <c r="J71" s="91">
        <f>I71*(1+J39)</f>
        <v>664504.87022639997</v>
      </c>
      <c r="K71" s="91">
        <f>J71*(1+K39)</f>
        <v>730955.35724904004</v>
      </c>
    </row>
    <row r="72" spans="3:11" ht="15.75" customHeight="1">
      <c r="C72" s="89" t="s">
        <v>127</v>
      </c>
      <c r="D72" s="49"/>
      <c r="E72" s="49">
        <v>6655</v>
      </c>
      <c r="F72" s="49">
        <v>13547</v>
      </c>
      <c r="G72" s="91">
        <f t="shared" ref="G72:K73" si="11">F72</f>
        <v>13547</v>
      </c>
      <c r="H72" s="91">
        <f t="shared" si="11"/>
        <v>13547</v>
      </c>
      <c r="I72" s="91">
        <f t="shared" si="11"/>
        <v>13547</v>
      </c>
      <c r="J72" s="91">
        <f t="shared" si="11"/>
        <v>13547</v>
      </c>
      <c r="K72" s="91">
        <f t="shared" si="11"/>
        <v>13547</v>
      </c>
    </row>
    <row r="73" spans="3:11" ht="15.75" customHeight="1">
      <c r="C73" s="89" t="s">
        <v>128</v>
      </c>
      <c r="D73" s="49"/>
      <c r="E73" s="49">
        <v>23449</v>
      </c>
      <c r="F73" s="49">
        <v>23444</v>
      </c>
      <c r="G73" s="91">
        <f t="shared" si="11"/>
        <v>23444</v>
      </c>
      <c r="H73" s="91">
        <f t="shared" si="11"/>
        <v>23444</v>
      </c>
      <c r="I73" s="91">
        <f t="shared" si="11"/>
        <v>23444</v>
      </c>
      <c r="J73" s="91">
        <f t="shared" si="11"/>
        <v>23444</v>
      </c>
      <c r="K73" s="91">
        <f t="shared" si="11"/>
        <v>23444</v>
      </c>
    </row>
    <row r="74" spans="3:11" ht="15.75" customHeight="1">
      <c r="C74" s="93" t="s">
        <v>130</v>
      </c>
      <c r="D74" s="49"/>
      <c r="E74" s="98">
        <f t="shared" ref="E74:K74" si="12">SUM(E66:E73)</f>
        <v>1273544</v>
      </c>
      <c r="F74" s="98">
        <f t="shared" si="12"/>
        <v>1316337</v>
      </c>
      <c r="G74" s="98">
        <f t="shared" si="12"/>
        <v>1501187.159690208</v>
      </c>
      <c r="H74" s="98">
        <f t="shared" si="12"/>
        <v>1685465.1237478717</v>
      </c>
      <c r="I74" s="98">
        <f t="shared" si="12"/>
        <v>1874746.1260870979</v>
      </c>
      <c r="J74" s="98">
        <f t="shared" si="12"/>
        <v>2070530.0858646736</v>
      </c>
      <c r="K74" s="98">
        <f t="shared" si="12"/>
        <v>2268773.5621170038</v>
      </c>
    </row>
    <row r="75" spans="3:11" ht="16.5" customHeight="1">
      <c r="C75" s="95" t="s">
        <v>131</v>
      </c>
      <c r="D75" s="49"/>
      <c r="E75" s="49">
        <v>2207977</v>
      </c>
      <c r="F75" s="49">
        <v>2191161</v>
      </c>
      <c r="G75" s="91">
        <f ca="1">F75-F73+G155+G115</f>
        <v>2167717</v>
      </c>
      <c r="H75" s="91">
        <f ca="1">G75-G73+H155-G155+H115</f>
        <v>2044273</v>
      </c>
      <c r="I75" s="91">
        <f ca="1">H75-H73+I155-H155+I115</f>
        <v>1920829</v>
      </c>
      <c r="J75" s="91">
        <f ca="1">I75-I73+J155-I155+J115</f>
        <v>1747385</v>
      </c>
      <c r="K75" s="91">
        <f ca="1">J75-J73+K155-J155+K115</f>
        <v>1573941</v>
      </c>
    </row>
    <row r="76" spans="3:11" ht="15.75" customHeight="1">
      <c r="C76" s="95" t="s">
        <v>133</v>
      </c>
      <c r="D76" s="49"/>
      <c r="E76" s="49">
        <v>164224</v>
      </c>
      <c r="F76" s="49">
        <v>212365</v>
      </c>
      <c r="G76" s="91">
        <f t="shared" ref="G76:K78" si="13">F76</f>
        <v>212365</v>
      </c>
      <c r="H76" s="91">
        <f t="shared" si="13"/>
        <v>212365</v>
      </c>
      <c r="I76" s="91">
        <f t="shared" si="13"/>
        <v>212365</v>
      </c>
      <c r="J76" s="91">
        <f t="shared" si="13"/>
        <v>212365</v>
      </c>
      <c r="K76" s="91">
        <f t="shared" si="13"/>
        <v>212365</v>
      </c>
    </row>
    <row r="77" spans="3:11" ht="15.75" customHeight="1">
      <c r="C77" s="95" t="s">
        <v>134</v>
      </c>
      <c r="D77" s="49"/>
      <c r="E77" s="49">
        <v>169824</v>
      </c>
      <c r="F77" s="49">
        <v>157206</v>
      </c>
      <c r="G77" s="91">
        <f t="shared" si="13"/>
        <v>157206</v>
      </c>
      <c r="H77" s="91">
        <f t="shared" si="13"/>
        <v>157206</v>
      </c>
      <c r="I77" s="91">
        <f t="shared" si="13"/>
        <v>157206</v>
      </c>
      <c r="J77" s="91">
        <f t="shared" si="13"/>
        <v>157206</v>
      </c>
      <c r="K77" s="91">
        <f t="shared" si="13"/>
        <v>157206</v>
      </c>
    </row>
    <row r="78" spans="3:11" ht="15.75" customHeight="1">
      <c r="C78" s="95" t="s">
        <v>135</v>
      </c>
      <c r="D78" s="49"/>
      <c r="E78" s="49">
        <v>0</v>
      </c>
      <c r="F78" s="49">
        <v>5770</v>
      </c>
      <c r="G78" s="91">
        <f t="shared" si="13"/>
        <v>5770</v>
      </c>
      <c r="H78" s="91">
        <f t="shared" si="13"/>
        <v>5770</v>
      </c>
      <c r="I78" s="91">
        <f t="shared" si="13"/>
        <v>5770</v>
      </c>
      <c r="J78" s="91">
        <f t="shared" si="13"/>
        <v>5770</v>
      </c>
      <c r="K78" s="91">
        <f t="shared" si="13"/>
        <v>5770</v>
      </c>
    </row>
    <row r="79" spans="3:11" ht="15.75" customHeight="1">
      <c r="C79" s="95" t="s">
        <v>136</v>
      </c>
      <c r="D79" s="49"/>
      <c r="E79" s="49">
        <v>24628</v>
      </c>
      <c r="F79" s="49">
        <v>7261</v>
      </c>
      <c r="G79" s="91">
        <f>F79*(1+G39)</f>
        <v>8350.15</v>
      </c>
      <c r="H79" s="91">
        <f>G79*(1+H39)</f>
        <v>9435.6694999999982</v>
      </c>
      <c r="I79" s="91">
        <f>H79*(1+I39)</f>
        <v>10567.949839999999</v>
      </c>
      <c r="J79" s="91">
        <f>I79*(1+J39)</f>
        <v>11730.4243224</v>
      </c>
      <c r="K79" s="91">
        <f>J79*(1+K39)</f>
        <v>12903.466754640001</v>
      </c>
    </row>
    <row r="80" spans="3:11" ht="15.75" customHeight="1">
      <c r="C80" s="97" t="s">
        <v>137</v>
      </c>
      <c r="D80" s="98"/>
      <c r="E80" s="98">
        <f t="shared" ref="E80:K80" si="14">SUM(E74:E79)</f>
        <v>3840197</v>
      </c>
      <c r="F80" s="98">
        <f t="shared" si="14"/>
        <v>3890100</v>
      </c>
      <c r="G80" s="98">
        <f t="shared" ca="1" si="14"/>
        <v>4052595.3096902077</v>
      </c>
      <c r="H80" s="98">
        <f t="shared" ca="1" si="14"/>
        <v>4114514.7932478716</v>
      </c>
      <c r="I80" s="98">
        <f t="shared" ca="1" si="14"/>
        <v>4181484.0759270978</v>
      </c>
      <c r="J80" s="98">
        <f t="shared" ca="1" si="14"/>
        <v>4204986.5101870736</v>
      </c>
      <c r="K80" s="98">
        <f t="shared" ca="1" si="14"/>
        <v>4230959.0288716443</v>
      </c>
    </row>
    <row r="81" spans="2:11" ht="15.75" customHeight="1">
      <c r="C81" s="97" t="s">
        <v>337</v>
      </c>
      <c r="D81" s="98"/>
      <c r="E81" s="49">
        <v>0</v>
      </c>
      <c r="F81" s="49">
        <v>0</v>
      </c>
      <c r="G81" s="102">
        <v>0</v>
      </c>
      <c r="H81" s="102">
        <v>0</v>
      </c>
      <c r="I81" s="102">
        <v>0</v>
      </c>
      <c r="J81" s="102">
        <v>0</v>
      </c>
      <c r="K81" s="102">
        <v>0</v>
      </c>
    </row>
    <row r="82" spans="2:11" ht="16.5" customHeight="1">
      <c r="C82" s="97" t="s">
        <v>139</v>
      </c>
      <c r="D82" s="98"/>
      <c r="E82" s="98"/>
      <c r="F82" s="98"/>
      <c r="G82" s="91"/>
      <c r="H82" s="91"/>
      <c r="I82" s="91"/>
      <c r="J82" s="91"/>
      <c r="K82" s="91"/>
    </row>
    <row r="83" spans="2:11" ht="15.75" customHeight="1">
      <c r="C83" s="89" t="s">
        <v>140</v>
      </c>
      <c r="D83" s="49"/>
      <c r="E83" s="49">
        <v>3345</v>
      </c>
      <c r="F83" s="49">
        <v>3345</v>
      </c>
      <c r="G83" s="91">
        <f>F83</f>
        <v>3345</v>
      </c>
      <c r="H83" s="91">
        <f>G83</f>
        <v>3345</v>
      </c>
      <c r="I83" s="91">
        <f>H83</f>
        <v>3345</v>
      </c>
      <c r="J83" s="91">
        <f>I83</f>
        <v>3345</v>
      </c>
      <c r="K83" s="91">
        <f>J83</f>
        <v>3345</v>
      </c>
    </row>
    <row r="84" spans="2:11" ht="15.75" customHeight="1">
      <c r="C84" s="89" t="s">
        <v>141</v>
      </c>
      <c r="D84" s="49"/>
      <c r="E84" s="49">
        <v>0</v>
      </c>
      <c r="F84" s="49">
        <v>0</v>
      </c>
      <c r="G84" s="91">
        <v>0</v>
      </c>
      <c r="H84" s="91">
        <v>0</v>
      </c>
      <c r="I84" s="91">
        <v>0</v>
      </c>
      <c r="J84" s="91">
        <v>0</v>
      </c>
      <c r="K84" s="91">
        <v>0</v>
      </c>
    </row>
    <row r="85" spans="2:11" ht="15.75" customHeight="1">
      <c r="C85" s="89" t="s">
        <v>379</v>
      </c>
      <c r="D85" s="49"/>
      <c r="E85" s="49">
        <v>3944802</v>
      </c>
      <c r="F85" s="49">
        <v>3958039</v>
      </c>
      <c r="G85" s="91">
        <f>F85+G35</f>
        <v>3971276</v>
      </c>
      <c r="H85" s="91">
        <f>G85+H35</f>
        <v>3984513</v>
      </c>
      <c r="I85" s="91">
        <f>H85+I35</f>
        <v>3997750</v>
      </c>
      <c r="J85" s="91">
        <f>I85+J35</f>
        <v>4010987</v>
      </c>
      <c r="K85" s="91">
        <f>J85+K35</f>
        <v>4024224</v>
      </c>
    </row>
    <row r="86" spans="2:11" ht="15.75" customHeight="1">
      <c r="C86" s="89" t="s">
        <v>143</v>
      </c>
      <c r="D86" s="49"/>
      <c r="E86" s="49">
        <v>-1563321</v>
      </c>
      <c r="F86" s="49">
        <v>-1285904</v>
      </c>
      <c r="G86" s="91">
        <f ca="1">F86+G31</f>
        <v>-878023.88341250003</v>
      </c>
      <c r="H86" s="91">
        <f ca="1">G86+H31</f>
        <v>-362543.30191062519</v>
      </c>
      <c r="I86" s="91">
        <f ca="1">H86+I31</f>
        <v>279394.30514471477</v>
      </c>
      <c r="J86" s="91">
        <f ca="1">I86+J31</f>
        <v>1046101.3846446398</v>
      </c>
      <c r="K86" s="91">
        <f ca="1">J86+K31</f>
        <v>1935399.4803857557</v>
      </c>
    </row>
    <row r="87" spans="2:11" ht="15.75" customHeight="1">
      <c r="C87" s="89" t="s">
        <v>144</v>
      </c>
      <c r="D87" s="101"/>
      <c r="E87" s="49">
        <v>-11422</v>
      </c>
      <c r="F87" s="49">
        <v>-8169</v>
      </c>
      <c r="G87" s="91">
        <f>F87</f>
        <v>-8169</v>
      </c>
      <c r="H87" s="91">
        <f>G87</f>
        <v>-8169</v>
      </c>
      <c r="I87" s="91">
        <f>H87</f>
        <v>-8169</v>
      </c>
      <c r="J87" s="91">
        <f>I87</f>
        <v>-8169</v>
      </c>
      <c r="K87" s="91">
        <f>J87</f>
        <v>-8169</v>
      </c>
    </row>
    <row r="88" spans="2:11" ht="15.75" customHeight="1">
      <c r="C88" s="89" t="s">
        <v>145</v>
      </c>
      <c r="D88" s="49"/>
      <c r="E88" s="49">
        <v>0</v>
      </c>
      <c r="F88" s="49">
        <v>0</v>
      </c>
      <c r="G88" s="91">
        <f>F88+G112</f>
        <v>-50000</v>
      </c>
      <c r="H88" s="91">
        <f>G88+H112</f>
        <v>-150000</v>
      </c>
      <c r="I88" s="91">
        <f>H88+I112</f>
        <v>-250000</v>
      </c>
      <c r="J88" s="91">
        <f>I88+J112</f>
        <v>-350000</v>
      </c>
      <c r="K88" s="91">
        <f>J88+K112</f>
        <v>-450000</v>
      </c>
    </row>
    <row r="89" spans="2:11" ht="15.75" customHeight="1">
      <c r="C89" s="93" t="s">
        <v>146</v>
      </c>
      <c r="D89" s="102"/>
      <c r="E89" s="102">
        <f t="shared" ref="E89:K89" si="15">SUM(E83:E88)</f>
        <v>2373404</v>
      </c>
      <c r="F89" s="102">
        <f t="shared" si="15"/>
        <v>2667311</v>
      </c>
      <c r="G89" s="102">
        <f t="shared" ca="1" si="15"/>
        <v>3038428.1165875001</v>
      </c>
      <c r="H89" s="102">
        <f t="shared" ca="1" si="15"/>
        <v>3467145.6980893747</v>
      </c>
      <c r="I89" s="102">
        <f t="shared" ca="1" si="15"/>
        <v>4022320.3051447151</v>
      </c>
      <c r="J89" s="102">
        <f t="shared" ca="1" si="15"/>
        <v>4702264.3846446397</v>
      </c>
      <c r="K89" s="102">
        <f t="shared" ca="1" si="15"/>
        <v>5504799.4803857561</v>
      </c>
    </row>
    <row r="90" spans="2:11" ht="15.75" customHeight="1">
      <c r="C90" s="97" t="s">
        <v>147</v>
      </c>
      <c r="D90" s="91"/>
      <c r="E90" s="91">
        <f t="shared" ref="E90:K90" si="16">SUM(E89,E80)</f>
        <v>6213601</v>
      </c>
      <c r="F90" s="91">
        <f t="shared" si="16"/>
        <v>6557411</v>
      </c>
      <c r="G90" s="91">
        <f t="shared" ca="1" si="16"/>
        <v>7091023.4262777083</v>
      </c>
      <c r="H90" s="91">
        <f t="shared" ca="1" si="16"/>
        <v>7581660.4913372463</v>
      </c>
      <c r="I90" s="91">
        <f t="shared" ca="1" si="16"/>
        <v>8203804.3810718134</v>
      </c>
      <c r="J90" s="91">
        <f t="shared" ca="1" si="16"/>
        <v>8907250.8948317133</v>
      </c>
      <c r="K90" s="91">
        <f t="shared" ca="1" si="16"/>
        <v>9735758.5092574004</v>
      </c>
    </row>
    <row r="91" spans="2:11" ht="15.75" customHeight="1">
      <c r="C91" s="97"/>
      <c r="D91" s="91"/>
      <c r="E91" s="91"/>
      <c r="F91" s="91"/>
    </row>
    <row r="92" spans="2:11" ht="15.75" customHeight="1">
      <c r="C92" s="60" t="s">
        <v>148</v>
      </c>
      <c r="D92" s="103"/>
      <c r="E92" s="103">
        <f t="shared" ref="E92:K92" si="17">E63-E90</f>
        <v>0</v>
      </c>
      <c r="F92" s="103">
        <f t="shared" si="17"/>
        <v>0</v>
      </c>
      <c r="G92" s="103">
        <f t="shared" ca="1" si="17"/>
        <v>0</v>
      </c>
      <c r="H92" s="103">
        <f t="shared" ca="1" si="17"/>
        <v>0</v>
      </c>
      <c r="I92" s="103">
        <f t="shared" ca="1" si="17"/>
        <v>0</v>
      </c>
      <c r="J92" s="103">
        <f t="shared" ca="1" si="17"/>
        <v>0</v>
      </c>
      <c r="K92" s="103">
        <f t="shared" ca="1" si="17"/>
        <v>0</v>
      </c>
    </row>
    <row r="93" spans="2:11" ht="15.75" customHeight="1">
      <c r="E93" s="91"/>
      <c r="F93" s="91"/>
      <c r="H93" s="91"/>
      <c r="I93" s="91"/>
      <c r="J93" s="91"/>
      <c r="K93" s="91"/>
    </row>
    <row r="94" spans="2:11" ht="15.75" customHeight="1">
      <c r="B94" t="s">
        <v>0</v>
      </c>
      <c r="C94" s="57" t="s">
        <v>149</v>
      </c>
      <c r="D94" s="31"/>
      <c r="E94" s="31"/>
      <c r="F94" s="31"/>
      <c r="G94" s="31"/>
      <c r="H94" s="31"/>
      <c r="I94" s="31"/>
      <c r="J94" s="31"/>
      <c r="K94" s="31"/>
    </row>
    <row r="95" spans="2:11" ht="15.75" customHeight="1">
      <c r="C95" s="79" t="str">
        <f>C14</f>
        <v xml:space="preserve">Fiscal year  </v>
      </c>
      <c r="D95" s="81"/>
      <c r="E95" s="81"/>
      <c r="F95" s="81"/>
      <c r="G95" s="83">
        <f t="shared" ref="G95:K96" si="18">G14</f>
        <v>2026</v>
      </c>
      <c r="H95" s="83">
        <f t="shared" si="18"/>
        <v>2027</v>
      </c>
      <c r="I95" s="83">
        <f t="shared" si="18"/>
        <v>2028</v>
      </c>
      <c r="J95" s="83">
        <f t="shared" si="18"/>
        <v>2029</v>
      </c>
      <c r="K95" s="83">
        <f t="shared" si="18"/>
        <v>2030</v>
      </c>
    </row>
    <row r="96" spans="2:11" ht="15.75" customHeight="1">
      <c r="C96" s="6" t="str">
        <f>C15</f>
        <v>Fiscal year end date</v>
      </c>
      <c r="D96" s="85"/>
      <c r="E96" s="85"/>
      <c r="F96" s="85"/>
      <c r="G96" s="85">
        <f t="shared" si="18"/>
        <v>46387</v>
      </c>
      <c r="H96" s="85">
        <f t="shared" si="18"/>
        <v>46752</v>
      </c>
      <c r="I96" s="85">
        <f t="shared" si="18"/>
        <v>47118</v>
      </c>
      <c r="J96" s="85">
        <f t="shared" si="18"/>
        <v>47483</v>
      </c>
      <c r="K96" s="85">
        <f t="shared" si="18"/>
        <v>47848</v>
      </c>
    </row>
    <row r="98" spans="3:13" ht="15.75" customHeight="1">
      <c r="C98" t="s">
        <v>81</v>
      </c>
      <c r="D98" s="104"/>
      <c r="E98" s="104"/>
      <c r="F98" s="104"/>
      <c r="G98" s="91">
        <f ca="1">G31</f>
        <v>407880.11658749997</v>
      </c>
      <c r="H98" s="91">
        <f ca="1">H31</f>
        <v>515480.58150187484</v>
      </c>
      <c r="I98" s="91">
        <f ca="1">I31</f>
        <v>641937.60705533996</v>
      </c>
      <c r="J98" s="91">
        <f ca="1">J31</f>
        <v>766707.07949992502</v>
      </c>
      <c r="K98" s="91">
        <f ca="1">K31</f>
        <v>889298.09574111574</v>
      </c>
      <c r="M98" s="72"/>
    </row>
    <row r="99" spans="3:13" ht="15.75" customHeight="1">
      <c r="C99" t="s">
        <v>150</v>
      </c>
      <c r="D99" s="104"/>
      <c r="E99" s="104"/>
      <c r="F99" s="104"/>
      <c r="G99" s="91">
        <f>G33</f>
        <v>193183</v>
      </c>
      <c r="H99" s="91">
        <f>H33</f>
        <v>194236.79999999999</v>
      </c>
      <c r="I99" s="91">
        <f>I33</f>
        <v>204408.45600000001</v>
      </c>
      <c r="J99" s="91">
        <f>J33</f>
        <v>214221.59616000002</v>
      </c>
      <c r="K99" s="91">
        <f>K33</f>
        <v>227266.55577600002</v>
      </c>
    </row>
    <row r="100" spans="3:13" ht="15.75" customHeight="1">
      <c r="C100" t="s">
        <v>85</v>
      </c>
      <c r="D100" s="104"/>
      <c r="E100" s="104"/>
      <c r="F100" s="104"/>
      <c r="G100" s="91">
        <f>G35</f>
        <v>13237</v>
      </c>
      <c r="H100" s="91">
        <f>H35</f>
        <v>13237</v>
      </c>
      <c r="I100" s="91">
        <f>I35</f>
        <v>13237</v>
      </c>
      <c r="J100" s="91">
        <f>J35</f>
        <v>13237</v>
      </c>
      <c r="K100" s="91">
        <f>K35</f>
        <v>13237</v>
      </c>
    </row>
    <row r="101" spans="3:13" ht="15.75" customHeight="1">
      <c r="C101" t="s">
        <v>152</v>
      </c>
      <c r="D101" s="91"/>
      <c r="E101" s="91"/>
      <c r="F101" s="91"/>
      <c r="G101" s="91">
        <f>F50+F51+F52+F53-G50-G51-G52-G53</f>
        <v>-385052.1271575588</v>
      </c>
      <c r="H101" s="91">
        <f>G50+G51+G52+G53-H50-H51-H52-H53</f>
        <v>-383822.15988594899</v>
      </c>
      <c r="I101" s="91">
        <f>H50+H51+H52+H53-I50-I51-I52-I53</f>
        <v>-396782.27004209306</v>
      </c>
      <c r="J101" s="91">
        <f>I50+I51+I52+I53-J50-J51-J52-J53</f>
        <v>-409135.30490693299</v>
      </c>
      <c r="K101" s="91">
        <f>J50+J51+J52+J53-K50-K51-K52-K53</f>
        <v>-413682.27419276576</v>
      </c>
    </row>
    <row r="102" spans="3:13" ht="15.75" customHeight="1">
      <c r="C102" t="s">
        <v>153</v>
      </c>
      <c r="D102" s="91"/>
      <c r="E102" s="91"/>
      <c r="F102" s="91"/>
      <c r="G102" s="91">
        <f>G66+G67+G68+G71-F66-F67-F68-F71</f>
        <v>184850.15969020803</v>
      </c>
      <c r="H102" s="91">
        <f>H66+H67+H68+H71-G66-G67-G68-G71</f>
        <v>184277.96405766363</v>
      </c>
      <c r="I102" s="91">
        <f>I66+I67+I68+I71-H66-H67-H68-H71</f>
        <v>189281.00233922631</v>
      </c>
      <c r="J102" s="91">
        <f>J66+J67+J68+J71-I66-I67-I68-I71</f>
        <v>195783.95977757557</v>
      </c>
      <c r="K102" s="91">
        <f>K66+K67+K68+K71-J66-J67-J68-J71</f>
        <v>198243.47625233023</v>
      </c>
    </row>
    <row r="103" spans="3:13" ht="15.75" customHeight="1">
      <c r="C103" t="s">
        <v>117</v>
      </c>
      <c r="G103" s="91">
        <f>-G62+F62</f>
        <v>-965.09999999999945</v>
      </c>
      <c r="H103" s="91">
        <f>-H62+G62</f>
        <v>-961.8829999999989</v>
      </c>
      <c r="I103" s="91">
        <f>-I62+H62</f>
        <v>-1003.3179600000003</v>
      </c>
      <c r="J103" s="91">
        <f>-J62+I62</f>
        <v>-1030.0731056000004</v>
      </c>
      <c r="K103" s="91">
        <f>-K62+J62</f>
        <v>-1039.4374065600005</v>
      </c>
    </row>
    <row r="104" spans="3:13" ht="15.75" customHeight="1">
      <c r="C104" t="s">
        <v>136</v>
      </c>
      <c r="G104" s="91">
        <f>G79-F79</f>
        <v>1089.1499999999996</v>
      </c>
      <c r="H104" s="91">
        <f>H79-G79</f>
        <v>1085.5194999999985</v>
      </c>
      <c r="I104" s="91">
        <f>I79-H79</f>
        <v>1132.2803400000012</v>
      </c>
      <c r="J104" s="91">
        <f>J79-I79</f>
        <v>1162.4744824000009</v>
      </c>
      <c r="K104" s="91">
        <f>K79-J79</f>
        <v>1173.0424322400013</v>
      </c>
      <c r="M104" s="72"/>
    </row>
    <row r="105" spans="3:13" ht="15.75" customHeight="1">
      <c r="C105" s="72" t="s">
        <v>154</v>
      </c>
      <c r="G105" s="102">
        <f ca="1">SUM(G98:G104)</f>
        <v>414222.19912014925</v>
      </c>
      <c r="H105" s="102">
        <f ca="1">SUM(H98:H104)</f>
        <v>523533.82217358955</v>
      </c>
      <c r="I105" s="102">
        <f ca="1">SUM(I98:I104)</f>
        <v>652210.7577324732</v>
      </c>
      <c r="J105" s="102">
        <f ca="1">SUM(J98:J104)</f>
        <v>780946.73190736759</v>
      </c>
      <c r="K105" s="102">
        <f ca="1">SUM(K98:K104)</f>
        <v>914496.4586023601</v>
      </c>
    </row>
    <row r="106" spans="3:13" ht="15.75" customHeight="1">
      <c r="C106" t="s">
        <v>155</v>
      </c>
      <c r="G106" s="49">
        <v>0</v>
      </c>
      <c r="H106" s="49">
        <v>-75000</v>
      </c>
      <c r="I106" s="49">
        <v>-75000</v>
      </c>
      <c r="J106" s="49">
        <v>-100000</v>
      </c>
      <c r="K106" s="49">
        <v>-100000</v>
      </c>
      <c r="M106" t="s">
        <v>156</v>
      </c>
    </row>
    <row r="107" spans="3:13" ht="15.75" customHeight="1">
      <c r="C107" t="s">
        <v>157</v>
      </c>
      <c r="G107" s="91">
        <f>-G123</f>
        <v>-94759.999999999985</v>
      </c>
      <c r="H107" s="91">
        <f>-H123</f>
        <v>-107078.79999999997</v>
      </c>
      <c r="I107" s="91">
        <f>-I123</f>
        <v>-119928.25599999999</v>
      </c>
      <c r="J107" s="91">
        <f>-J123</f>
        <v>-133120.36416</v>
      </c>
      <c r="K107" s="91">
        <f>-K123</f>
        <v>-146432.40057600001</v>
      </c>
    </row>
    <row r="108" spans="3:13" ht="15.75" customHeight="1">
      <c r="C108" s="72" t="s">
        <v>158</v>
      </c>
      <c r="G108" s="102">
        <f>G107+G106+G109</f>
        <v>-121759.99999999999</v>
      </c>
      <c r="H108" s="102">
        <f>H107+H106+H109</f>
        <v>-209078.8</v>
      </c>
      <c r="I108" s="102">
        <f>I107+I106+I109</f>
        <v>-221928.25599999999</v>
      </c>
      <c r="J108" s="102">
        <f>J107+J106+J109</f>
        <v>-260120.36416</v>
      </c>
      <c r="K108" s="102">
        <f>K107+K106+K109</f>
        <v>-273432.40057599999</v>
      </c>
    </row>
    <row r="109" spans="3:13" ht="15.75" customHeight="1">
      <c r="C109" t="s">
        <v>159</v>
      </c>
      <c r="G109" s="49">
        <v>-27000</v>
      </c>
      <c r="H109" s="49">
        <v>-27000</v>
      </c>
      <c r="I109" s="49">
        <v>-27000</v>
      </c>
      <c r="J109" s="49">
        <v>-27000</v>
      </c>
      <c r="K109" s="49">
        <v>-27000</v>
      </c>
      <c r="M109" t="s">
        <v>160</v>
      </c>
    </row>
    <row r="110" spans="3:13" ht="15.75" customHeight="1">
      <c r="C110" t="s">
        <v>131</v>
      </c>
      <c r="G110" s="91">
        <f>-G73</f>
        <v>-23444</v>
      </c>
      <c r="H110" s="91">
        <f>-H73</f>
        <v>-23444</v>
      </c>
      <c r="I110" s="91">
        <f>-I73</f>
        <v>-23444</v>
      </c>
      <c r="J110" s="91">
        <f>-J73</f>
        <v>-23444</v>
      </c>
      <c r="K110" s="91">
        <f>-K73</f>
        <v>-23444</v>
      </c>
    </row>
    <row r="111" spans="3:13" ht="15.75" customHeight="1">
      <c r="C111" t="s">
        <v>138</v>
      </c>
      <c r="G111" s="91">
        <v>0</v>
      </c>
      <c r="H111" s="91">
        <v>0</v>
      </c>
      <c r="I111" s="91">
        <v>0</v>
      </c>
      <c r="J111" s="91">
        <v>0</v>
      </c>
      <c r="K111" s="91">
        <v>0</v>
      </c>
    </row>
    <row r="112" spans="3:13" ht="18" customHeight="1">
      <c r="C112" t="s">
        <v>161</v>
      </c>
      <c r="F112" s="289"/>
      <c r="G112" s="49">
        <v>-50000</v>
      </c>
      <c r="H112" s="49">
        <v>-100000</v>
      </c>
      <c r="I112" s="49">
        <v>-100000</v>
      </c>
      <c r="J112" s="49">
        <v>-100000</v>
      </c>
      <c r="K112" s="49">
        <v>-100000</v>
      </c>
      <c r="M112" t="s">
        <v>387</v>
      </c>
    </row>
    <row r="113" spans="2:15" ht="15.75" customHeight="1">
      <c r="C113" t="s">
        <v>163</v>
      </c>
      <c r="G113" s="91">
        <v>0</v>
      </c>
      <c r="H113" s="91">
        <v>0</v>
      </c>
      <c r="I113" s="91">
        <v>0</v>
      </c>
      <c r="J113" s="91">
        <v>0</v>
      </c>
      <c r="K113" s="91">
        <v>0</v>
      </c>
    </row>
    <row r="114" spans="2:15" ht="15.75" customHeight="1">
      <c r="C114" s="72" t="s">
        <v>164</v>
      </c>
      <c r="G114" s="91">
        <f>SUM(G110:G113)+G115</f>
        <v>-73444</v>
      </c>
      <c r="H114" s="91">
        <f>SUM(H110:H113)+H115</f>
        <v>-223444</v>
      </c>
      <c r="I114" s="91">
        <f>SUM(I110:I113)+I115</f>
        <v>-223444</v>
      </c>
      <c r="J114" s="91">
        <f>SUM(J110:J113)+J115</f>
        <v>-273444</v>
      </c>
      <c r="K114" s="91">
        <f>SUM(K110:K113)+K115</f>
        <v>-273444</v>
      </c>
    </row>
    <row r="115" spans="2:15" ht="15.75" customHeight="1">
      <c r="C115" t="s">
        <v>165</v>
      </c>
      <c r="G115" s="49">
        <v>0</v>
      </c>
      <c r="H115" s="49">
        <v>-100000</v>
      </c>
      <c r="I115" s="49">
        <v>-100000</v>
      </c>
      <c r="J115" s="49">
        <v>-150000</v>
      </c>
      <c r="K115" s="49">
        <v>-150000</v>
      </c>
      <c r="M115" t="s">
        <v>166</v>
      </c>
    </row>
    <row r="116" spans="2:15" ht="15.75" customHeight="1">
      <c r="C116" s="72" t="s">
        <v>167</v>
      </c>
      <c r="G116" s="98">
        <f ca="1">G105+G108+G114</f>
        <v>219018.19912014925</v>
      </c>
      <c r="H116" s="98">
        <f ca="1">H105+H108+H114</f>
        <v>91011.022173589561</v>
      </c>
      <c r="I116" s="98">
        <f ca="1">I105+I108+I114</f>
        <v>206838.5017324732</v>
      </c>
      <c r="J116" s="98">
        <f ca="1">J105+J108+J114</f>
        <v>247382.36774736759</v>
      </c>
      <c r="K116" s="98">
        <f ca="1">K105+K108+K114</f>
        <v>367620.05802636012</v>
      </c>
    </row>
    <row r="118" spans="2:15" ht="15.75" customHeight="1">
      <c r="B118" t="s">
        <v>0</v>
      </c>
      <c r="C118" s="57" t="s">
        <v>168</v>
      </c>
      <c r="D118" s="6"/>
      <c r="E118" s="6"/>
      <c r="F118" s="6"/>
      <c r="G118" s="6"/>
      <c r="H118" s="6"/>
      <c r="I118" s="6"/>
      <c r="J118" s="6"/>
      <c r="K118" s="6"/>
    </row>
    <row r="119" spans="2:15" ht="15.75" customHeight="1">
      <c r="C119" s="79" t="str">
        <f t="shared" ref="C119:K119" si="19">C14</f>
        <v xml:space="preserve">Fiscal year  </v>
      </c>
      <c r="D119" s="81">
        <f t="shared" si="19"/>
        <v>2023</v>
      </c>
      <c r="E119" s="81">
        <f t="shared" si="19"/>
        <v>2024</v>
      </c>
      <c r="F119" s="81">
        <f t="shared" si="19"/>
        <v>2025</v>
      </c>
      <c r="G119" s="83">
        <f t="shared" si="19"/>
        <v>2026</v>
      </c>
      <c r="H119" s="83">
        <f t="shared" si="19"/>
        <v>2027</v>
      </c>
      <c r="I119" s="83">
        <f t="shared" si="19"/>
        <v>2028</v>
      </c>
      <c r="J119" s="83">
        <f t="shared" si="19"/>
        <v>2029</v>
      </c>
      <c r="K119" s="83">
        <f t="shared" si="19"/>
        <v>2030</v>
      </c>
    </row>
    <row r="120" spans="2:15" ht="15.75" customHeight="1">
      <c r="C120" s="6" t="str">
        <f t="shared" ref="C120:K120" si="20">C15</f>
        <v>Fiscal year end date</v>
      </c>
      <c r="D120" s="85">
        <f t="shared" si="20"/>
        <v>45291</v>
      </c>
      <c r="E120" s="85">
        <f t="shared" si="20"/>
        <v>45657</v>
      </c>
      <c r="F120" s="85">
        <f t="shared" si="20"/>
        <v>46022</v>
      </c>
      <c r="G120" s="85">
        <f t="shared" si="20"/>
        <v>46387</v>
      </c>
      <c r="H120" s="85">
        <f t="shared" si="20"/>
        <v>46752</v>
      </c>
      <c r="I120" s="85">
        <f t="shared" si="20"/>
        <v>47118</v>
      </c>
      <c r="J120" s="85">
        <f t="shared" si="20"/>
        <v>47483</v>
      </c>
      <c r="K120" s="85">
        <f t="shared" si="20"/>
        <v>47848</v>
      </c>
    </row>
    <row r="121" spans="2:15" ht="15.75" customHeight="1">
      <c r="C121" s="72"/>
      <c r="G121" s="306" t="s">
        <v>169</v>
      </c>
      <c r="H121" s="306"/>
      <c r="I121" s="306"/>
      <c r="J121" s="306"/>
      <c r="K121" s="306"/>
    </row>
    <row r="122" spans="2:15" ht="15.75" customHeight="1">
      <c r="C122" s="95" t="s">
        <v>170</v>
      </c>
      <c r="F122" s="91">
        <f>E56</f>
        <v>568607</v>
      </c>
      <c r="G122" s="91">
        <f>F125</f>
        <v>579971</v>
      </c>
      <c r="H122" s="91">
        <f>G125</f>
        <v>602971</v>
      </c>
      <c r="I122" s="91">
        <f>H125</f>
        <v>628961</v>
      </c>
      <c r="J122" s="91">
        <f>I125</f>
        <v>658069.80000000005</v>
      </c>
      <c r="K122" s="91">
        <f>J125</f>
        <v>690380.56800000009</v>
      </c>
    </row>
    <row r="123" spans="2:15" ht="15.75" customHeight="1">
      <c r="C123" s="44" t="s">
        <v>171</v>
      </c>
      <c r="D123" s="49"/>
      <c r="E123" s="49"/>
      <c r="F123" s="109">
        <v>82400</v>
      </c>
      <c r="G123" s="54">
        <f>($F$123/$F$17)*G17</f>
        <v>94759.999999999985</v>
      </c>
      <c r="H123" s="54">
        <f>($F$123/$F$17)*H17</f>
        <v>107078.79999999997</v>
      </c>
      <c r="I123" s="54">
        <f>($F$123/$F$17)*I17</f>
        <v>119928.25599999999</v>
      </c>
      <c r="J123" s="54">
        <f>($F$123/$F$17)*J17</f>
        <v>133120.36416</v>
      </c>
      <c r="K123" s="54">
        <f>($F$123/$F$17)*K17</f>
        <v>146432.40057600001</v>
      </c>
    </row>
    <row r="124" spans="2:15" ht="15.75" customHeight="1">
      <c r="C124" s="108" t="s">
        <v>173</v>
      </c>
      <c r="D124" s="109"/>
      <c r="E124" s="109"/>
      <c r="F124" s="109">
        <v>-62400</v>
      </c>
      <c r="G124" s="110">
        <f>-G123*G127</f>
        <v>-71759.999999999985</v>
      </c>
      <c r="H124" s="110">
        <f>-H123*H127</f>
        <v>-81088.799999999974</v>
      </c>
      <c r="I124" s="110">
        <f>-I123*I127</f>
        <v>-90819.455999999991</v>
      </c>
      <c r="J124" s="110">
        <f>-J123*J127</f>
        <v>-100809.59616</v>
      </c>
      <c r="K124" s="110">
        <f>-K123*K127</f>
        <v>-110890.55577600001</v>
      </c>
    </row>
    <row r="125" spans="2:15" ht="15.75" customHeight="1">
      <c r="C125" s="111" t="s">
        <v>175</v>
      </c>
      <c r="D125" s="102"/>
      <c r="E125" s="102"/>
      <c r="F125" s="102">
        <f>F56</f>
        <v>579971</v>
      </c>
      <c r="G125" s="102">
        <f>SUM(G122:G124)</f>
        <v>602971</v>
      </c>
      <c r="H125" s="102">
        <f>SUM(H122:H124)</f>
        <v>628961</v>
      </c>
      <c r="I125" s="102">
        <f>SUM(I122:I124)</f>
        <v>658069.80000000005</v>
      </c>
      <c r="J125" s="102">
        <f>SUM(J122:J124)</f>
        <v>690380.56800000009</v>
      </c>
      <c r="K125" s="102">
        <f>SUM(K122:K124)</f>
        <v>725922.41280000005</v>
      </c>
    </row>
    <row r="126" spans="2:15" ht="15.75" customHeight="1">
      <c r="C126" s="95"/>
      <c r="M126" s="26"/>
    </row>
    <row r="127" spans="2:15" ht="16.5" customHeight="1">
      <c r="C127" s="95" t="s">
        <v>176</v>
      </c>
      <c r="D127" s="112"/>
      <c r="E127" s="112"/>
      <c r="F127" s="113">
        <f>-F124/F123</f>
        <v>0.75728155339805825</v>
      </c>
      <c r="G127" s="42">
        <f>F127</f>
        <v>0.75728155339805825</v>
      </c>
      <c r="H127" s="42">
        <f>G127</f>
        <v>0.75728155339805825</v>
      </c>
      <c r="I127" s="42">
        <f>H127</f>
        <v>0.75728155339805825</v>
      </c>
      <c r="J127" s="42">
        <f>I127</f>
        <v>0.75728155339805825</v>
      </c>
      <c r="K127" s="42">
        <f>J127</f>
        <v>0.75728155339805825</v>
      </c>
    </row>
    <row r="128" spans="2:15" ht="15.75" customHeight="1">
      <c r="C128" s="95"/>
      <c r="D128" s="112"/>
      <c r="E128" s="112"/>
      <c r="F128" s="112"/>
      <c r="G128" s="42"/>
      <c r="H128" s="42"/>
      <c r="I128" s="42"/>
      <c r="J128" s="42"/>
      <c r="K128" s="42"/>
      <c r="O128" s="114"/>
    </row>
    <row r="129" spans="2:15" ht="15.75" customHeight="1">
      <c r="B129" t="s">
        <v>0</v>
      </c>
      <c r="C129" s="115" t="s">
        <v>177</v>
      </c>
      <c r="D129" s="116"/>
      <c r="E129" s="116"/>
      <c r="F129" s="116"/>
      <c r="G129" s="117"/>
      <c r="H129" s="117"/>
      <c r="I129" s="117"/>
      <c r="J129" s="117"/>
      <c r="K129" s="117"/>
      <c r="O129" s="114"/>
    </row>
    <row r="130" spans="2:15" ht="15.75" customHeight="1">
      <c r="C130" s="95" t="s">
        <v>178</v>
      </c>
      <c r="D130" s="91"/>
      <c r="E130" s="91"/>
      <c r="F130" s="91">
        <f>F33+F124</f>
        <v>131264</v>
      </c>
      <c r="G130" s="101">
        <v>121423</v>
      </c>
      <c r="H130" s="101">
        <v>113148</v>
      </c>
      <c r="I130" s="101">
        <v>113589</v>
      </c>
      <c r="J130" s="101">
        <v>113412</v>
      </c>
      <c r="K130" s="101">
        <v>116376</v>
      </c>
      <c r="O130" s="114"/>
    </row>
    <row r="131" spans="2:15" ht="15.75" customHeight="1">
      <c r="C131" s="44" t="s">
        <v>180</v>
      </c>
      <c r="D131" s="118"/>
      <c r="E131" s="118"/>
      <c r="F131" s="118"/>
      <c r="G131" s="42">
        <f>G130/G17</f>
        <v>1.741608098676314E-2</v>
      </c>
      <c r="H131" s="42">
        <f>H130/H17</f>
        <v>1.436209896734349E-2</v>
      </c>
      <c r="I131" s="42">
        <f>I130/I17</f>
        <v>1.2873282114083034E-2</v>
      </c>
      <c r="J131" s="42">
        <f>J130/J17</f>
        <v>1.1579479575624949E-2</v>
      </c>
      <c r="K131" s="42">
        <f>K130/K17</f>
        <v>1.0801915422553722E-2</v>
      </c>
      <c r="O131" s="114"/>
    </row>
    <row r="132" spans="2:15" ht="15.75" customHeight="1">
      <c r="C132" s="97" t="s">
        <v>181</v>
      </c>
      <c r="D132" s="102"/>
      <c r="E132" s="102"/>
      <c r="F132" s="102"/>
      <c r="G132" s="98">
        <f>G130-G124</f>
        <v>193183</v>
      </c>
      <c r="H132" s="98">
        <f>H130-H124</f>
        <v>194236.79999999999</v>
      </c>
      <c r="I132" s="98">
        <f>I130-I124</f>
        <v>204408.45600000001</v>
      </c>
      <c r="J132" s="98">
        <f>J130-J124</f>
        <v>214221.59616000002</v>
      </c>
      <c r="K132" s="98">
        <f>K130-K124</f>
        <v>227266.55577600002</v>
      </c>
      <c r="O132" s="114"/>
    </row>
    <row r="133" spans="2:15" ht="15.75" customHeight="1">
      <c r="H133" s="91"/>
      <c r="I133" s="91"/>
      <c r="J133" s="91"/>
      <c r="K133" s="91"/>
    </row>
    <row r="134" spans="2:15" ht="15.75" customHeight="1">
      <c r="B134" t="s">
        <v>0</v>
      </c>
      <c r="C134" s="119" t="s">
        <v>182</v>
      </c>
      <c r="D134" s="120"/>
      <c r="E134" s="120"/>
      <c r="F134" s="120"/>
      <c r="G134" s="121">
        <f>G14</f>
        <v>2026</v>
      </c>
      <c r="H134" s="121">
        <f>H14</f>
        <v>2027</v>
      </c>
      <c r="I134" s="121">
        <f>I14</f>
        <v>2028</v>
      </c>
      <c r="J134" s="121">
        <f>J14</f>
        <v>2029</v>
      </c>
      <c r="K134" s="121">
        <f>K14</f>
        <v>2030</v>
      </c>
    </row>
    <row r="135" spans="2:15" ht="15.75" customHeight="1">
      <c r="C135" s="95" t="s">
        <v>170</v>
      </c>
      <c r="F135" s="91">
        <f>E86</f>
        <v>-1563321</v>
      </c>
      <c r="G135" s="91">
        <f>F139</f>
        <v>-1285904</v>
      </c>
      <c r="H135" s="91">
        <f ca="1">G139</f>
        <v>-878023.88341250003</v>
      </c>
      <c r="I135" s="91">
        <f ca="1">H139</f>
        <v>-362543.30191062519</v>
      </c>
      <c r="J135" s="91">
        <f ca="1">I139</f>
        <v>279394.30514471477</v>
      </c>
      <c r="K135" s="91">
        <f ca="1">J139</f>
        <v>1046101.3846446398</v>
      </c>
    </row>
    <row r="136" spans="2:15" ht="15.75" customHeight="1">
      <c r="C136" s="44" t="s">
        <v>183</v>
      </c>
      <c r="D136" s="101"/>
      <c r="E136" s="101"/>
      <c r="F136" s="91">
        <f t="shared" ref="F136:K136" si="21">F31</f>
        <v>277417</v>
      </c>
      <c r="G136" s="91">
        <f t="shared" ca="1" si="21"/>
        <v>407880.11658749997</v>
      </c>
      <c r="H136" s="91">
        <f t="shared" ca="1" si="21"/>
        <v>515480.58150187484</v>
      </c>
      <c r="I136" s="91">
        <f t="shared" ca="1" si="21"/>
        <v>641937.60705533996</v>
      </c>
      <c r="J136" s="91">
        <f t="shared" ca="1" si="21"/>
        <v>766707.07949992502</v>
      </c>
      <c r="K136" s="91">
        <f t="shared" ca="1" si="21"/>
        <v>889298.09574111574</v>
      </c>
    </row>
    <row r="137" spans="2:15" ht="15.75" customHeight="1">
      <c r="C137" s="44" t="s">
        <v>184</v>
      </c>
      <c r="D137" s="49"/>
      <c r="E137" s="49"/>
      <c r="F137" s="91">
        <f t="shared" ref="F137:K137" si="22">-F113</f>
        <v>0</v>
      </c>
      <c r="G137" s="91">
        <f t="shared" si="22"/>
        <v>0</v>
      </c>
      <c r="H137" s="91">
        <f t="shared" si="22"/>
        <v>0</v>
      </c>
      <c r="I137" s="91">
        <f t="shared" si="22"/>
        <v>0</v>
      </c>
      <c r="J137" s="91">
        <f t="shared" si="22"/>
        <v>0</v>
      </c>
      <c r="K137" s="91">
        <f t="shared" si="22"/>
        <v>0</v>
      </c>
    </row>
    <row r="138" spans="2:15" ht="15.75" customHeight="1">
      <c r="C138" s="108" t="s">
        <v>185</v>
      </c>
      <c r="D138" s="109"/>
      <c r="E138" s="109"/>
      <c r="F138" s="110">
        <v>0</v>
      </c>
      <c r="G138" s="110">
        <v>0</v>
      </c>
      <c r="H138" s="110">
        <v>0</v>
      </c>
      <c r="I138" s="110">
        <v>0</v>
      </c>
      <c r="J138" s="110">
        <v>0</v>
      </c>
      <c r="K138" s="110">
        <v>0</v>
      </c>
    </row>
    <row r="139" spans="2:15" ht="15.75" customHeight="1">
      <c r="C139" s="111" t="s">
        <v>175</v>
      </c>
      <c r="D139" s="98"/>
      <c r="E139" s="98"/>
      <c r="F139" s="98">
        <f t="shared" ref="F139:K139" si="23">SUM(F135:F138)</f>
        <v>-1285904</v>
      </c>
      <c r="G139" s="98">
        <f t="shared" ca="1" si="23"/>
        <v>-878023.88341250003</v>
      </c>
      <c r="H139" s="98">
        <f t="shared" ca="1" si="23"/>
        <v>-362543.30191062519</v>
      </c>
      <c r="I139" s="98">
        <f t="shared" ca="1" si="23"/>
        <v>279394.30514471477</v>
      </c>
      <c r="J139" s="98">
        <f t="shared" ca="1" si="23"/>
        <v>1046101.3846446398</v>
      </c>
      <c r="K139" s="98">
        <f t="shared" ca="1" si="23"/>
        <v>1935399.4803857557</v>
      </c>
    </row>
    <row r="140" spans="2:15" ht="15.75" customHeight="1">
      <c r="E140" s="104"/>
      <c r="F140" s="104"/>
    </row>
    <row r="141" spans="2:15" ht="15.75" customHeight="1">
      <c r="B141" t="s">
        <v>0</v>
      </c>
      <c r="C141" s="57" t="s">
        <v>186</v>
      </c>
      <c r="D141" s="6"/>
      <c r="E141" s="6"/>
      <c r="F141" s="6"/>
      <c r="G141" s="6"/>
      <c r="H141" s="6"/>
      <c r="I141" s="6"/>
      <c r="J141" s="6"/>
      <c r="K141" s="6"/>
    </row>
    <row r="142" spans="2:15" ht="15.75" customHeight="1">
      <c r="C142" s="79" t="str">
        <f t="shared" ref="C142:K142" si="24">C14</f>
        <v xml:space="preserve">Fiscal year  </v>
      </c>
      <c r="D142" s="81">
        <f t="shared" si="24"/>
        <v>2023</v>
      </c>
      <c r="E142" s="81">
        <f t="shared" si="24"/>
        <v>2024</v>
      </c>
      <c r="F142" s="81">
        <f t="shared" si="24"/>
        <v>2025</v>
      </c>
      <c r="G142" s="83">
        <f t="shared" si="24"/>
        <v>2026</v>
      </c>
      <c r="H142" s="83">
        <f t="shared" si="24"/>
        <v>2027</v>
      </c>
      <c r="I142" s="83">
        <f t="shared" si="24"/>
        <v>2028</v>
      </c>
      <c r="J142" s="83">
        <f t="shared" si="24"/>
        <v>2029</v>
      </c>
      <c r="K142" s="83">
        <f t="shared" si="24"/>
        <v>2030</v>
      </c>
    </row>
    <row r="143" spans="2:15" ht="15.75" customHeight="1">
      <c r="C143" s="6" t="str">
        <f t="shared" ref="C143:K143" si="25">C15</f>
        <v>Fiscal year end date</v>
      </c>
      <c r="D143" s="85">
        <f t="shared" si="25"/>
        <v>45291</v>
      </c>
      <c r="E143" s="85">
        <f t="shared" si="25"/>
        <v>45657</v>
      </c>
      <c r="F143" s="85">
        <f t="shared" si="25"/>
        <v>46022</v>
      </c>
      <c r="G143" s="85">
        <f t="shared" si="25"/>
        <v>46387</v>
      </c>
      <c r="H143" s="85">
        <f t="shared" si="25"/>
        <v>46752</v>
      </c>
      <c r="I143" s="85">
        <f t="shared" si="25"/>
        <v>47118</v>
      </c>
      <c r="J143" s="85">
        <f t="shared" si="25"/>
        <v>47483</v>
      </c>
      <c r="K143" s="85">
        <f t="shared" si="25"/>
        <v>47848</v>
      </c>
    </row>
    <row r="144" spans="2:15" ht="15.75" customHeight="1">
      <c r="C144" s="72"/>
    </row>
    <row r="145" spans="2:11" ht="15.75" customHeight="1">
      <c r="C145" s="26" t="s">
        <v>187</v>
      </c>
    </row>
    <row r="146" spans="2:11" ht="15.75" customHeight="1">
      <c r="C146" s="44" t="s">
        <v>188</v>
      </c>
      <c r="G146" s="91">
        <f>F49</f>
        <v>289717</v>
      </c>
      <c r="H146" s="91">
        <f ca="1">G49</f>
        <v>508735.19912014925</v>
      </c>
      <c r="I146" s="91">
        <f ca="1">H49</f>
        <v>599746.22129373881</v>
      </c>
      <c r="J146" s="91">
        <f ca="1">I49</f>
        <v>806584.72302621207</v>
      </c>
      <c r="K146" s="91">
        <f ca="1">J49</f>
        <v>1053967.0907735797</v>
      </c>
    </row>
    <row r="147" spans="2:11" ht="15.75" customHeight="1">
      <c r="C147" s="44" t="s">
        <v>189</v>
      </c>
      <c r="G147" s="49">
        <v>-50000</v>
      </c>
      <c r="H147" s="49">
        <v>-50000</v>
      </c>
      <c r="I147" s="49">
        <v>-50000</v>
      </c>
      <c r="J147" s="49">
        <v>-50000</v>
      </c>
      <c r="K147" s="49">
        <v>-50000</v>
      </c>
    </row>
    <row r="148" spans="2:11" ht="15.75" customHeight="1">
      <c r="C148" s="108" t="s">
        <v>190</v>
      </c>
      <c r="D148" s="122"/>
      <c r="E148" s="122"/>
      <c r="F148" s="122"/>
      <c r="G148" s="110">
        <f ca="1">G105+G108+G110+G112+G113+G115</f>
        <v>219018.19912014925</v>
      </c>
      <c r="H148" s="110">
        <f ca="1">H105+H108+H110+H112+H113+H115</f>
        <v>91011.022173589561</v>
      </c>
      <c r="I148" s="110">
        <f ca="1">I105+I108+I110+I112+I113+I115</f>
        <v>206838.5017324732</v>
      </c>
      <c r="J148" s="110">
        <f ca="1">J105+J108+J110+J112+J113+J115</f>
        <v>247382.36774736759</v>
      </c>
      <c r="K148" s="110">
        <f ca="1">K105+K108+K110+K112+K113+K115</f>
        <v>367620.05802636012</v>
      </c>
    </row>
    <row r="149" spans="2:11" ht="15.75" customHeight="1">
      <c r="C149" s="111" t="s">
        <v>191</v>
      </c>
      <c r="G149" s="98">
        <f ca="1">SUM(G146:G148)</f>
        <v>458735.19912014925</v>
      </c>
      <c r="H149" s="98">
        <f ca="1">SUM(H146:H148)</f>
        <v>549746.22129373881</v>
      </c>
      <c r="I149" s="98">
        <f ca="1">SUM(I146:I148)</f>
        <v>756584.72302621207</v>
      </c>
      <c r="J149" s="98">
        <f ca="1">SUM(J146:J148)</f>
        <v>1003967.0907735797</v>
      </c>
      <c r="K149" s="98">
        <f ca="1">SUM(K146:K148)</f>
        <v>1371587.1487999398</v>
      </c>
    </row>
    <row r="150" spans="2:11" ht="15.75" customHeight="1">
      <c r="C150" s="44"/>
      <c r="G150" s="123"/>
      <c r="H150" s="123"/>
      <c r="I150" s="123"/>
      <c r="J150" s="123"/>
      <c r="K150" s="123"/>
    </row>
    <row r="151" spans="2:11" ht="15.75" customHeight="1">
      <c r="C151" s="72" t="s">
        <v>192</v>
      </c>
    </row>
    <row r="152" spans="2:11" ht="15.75" customHeight="1">
      <c r="C152" s="44" t="s">
        <v>170</v>
      </c>
      <c r="G152" s="54">
        <f>F81</f>
        <v>0</v>
      </c>
      <c r="H152" s="91">
        <f ca="1">G155</f>
        <v>0</v>
      </c>
      <c r="I152" s="91">
        <f ca="1">H155</f>
        <v>0</v>
      </c>
      <c r="J152" s="91">
        <f ca="1">I155</f>
        <v>0</v>
      </c>
      <c r="K152" s="91">
        <f ca="1">J155</f>
        <v>0</v>
      </c>
    </row>
    <row r="153" spans="2:11" ht="15.75" customHeight="1">
      <c r="C153" s="44" t="s">
        <v>193</v>
      </c>
      <c r="G153" s="91">
        <f ca="1">IF(G149&lt;0,-G149,IF(G152&gt;0,-MIN(G152,G149),0))</f>
        <v>0</v>
      </c>
      <c r="H153" s="91">
        <f ca="1">IF(H149&lt;0,-H149,IF(H152&gt;0,-MIN(H152,H149),0))</f>
        <v>0</v>
      </c>
      <c r="I153" s="91">
        <f ca="1">IF(I149&lt;0,-I149,IF(I152&gt;0,-MIN(I152,I149),0))</f>
        <v>0</v>
      </c>
      <c r="J153" s="91">
        <f ca="1">IF(J149&lt;0,-J149,IF(J152&gt;0,-MIN(J152,J149),0))</f>
        <v>0</v>
      </c>
      <c r="K153" s="91">
        <f ca="1">IF(K149&lt;0,-K149,IF(K152&gt;0,-MIN(K152,K149),0))</f>
        <v>0</v>
      </c>
    </row>
    <row r="154" spans="2:11" ht="15.75" customHeight="1">
      <c r="C154" s="108" t="s">
        <v>194</v>
      </c>
      <c r="D154" s="122"/>
      <c r="E154" s="122"/>
      <c r="F154" s="122"/>
      <c r="G154" s="109">
        <v>0</v>
      </c>
      <c r="H154" s="109">
        <v>0</v>
      </c>
      <c r="I154" s="109">
        <v>0</v>
      </c>
      <c r="J154" s="109">
        <v>0</v>
      </c>
      <c r="K154" s="109">
        <v>0</v>
      </c>
    </row>
    <row r="155" spans="2:11" ht="15.75" customHeight="1">
      <c r="C155" s="124" t="s">
        <v>175</v>
      </c>
      <c r="D155" s="125"/>
      <c r="E155" s="125"/>
      <c r="F155" s="125"/>
      <c r="G155" s="126">
        <f ca="1">G152+G153+G154</f>
        <v>0</v>
      </c>
      <c r="H155" s="126">
        <f ca="1">H152+H153+H154</f>
        <v>0</v>
      </c>
      <c r="I155" s="126">
        <f ca="1">I152+I153+I154</f>
        <v>0</v>
      </c>
      <c r="J155" s="126">
        <f ca="1">J152+J153+J154</f>
        <v>0</v>
      </c>
      <c r="K155" s="126">
        <f ca="1">K152+K153+K154</f>
        <v>0</v>
      </c>
    </row>
    <row r="156" spans="2:11" ht="15.75" customHeight="1">
      <c r="C156" s="127" t="s">
        <v>195</v>
      </c>
      <c r="D156" s="129"/>
      <c r="E156" s="129"/>
      <c r="F156" s="130">
        <f t="shared" ref="F156:K156" si="26">F75+F73</f>
        <v>2214605</v>
      </c>
      <c r="G156" s="131">
        <f t="shared" ca="1" si="26"/>
        <v>2191161</v>
      </c>
      <c r="H156" s="131">
        <f t="shared" ca="1" si="26"/>
        <v>2067717</v>
      </c>
      <c r="I156" s="131">
        <f t="shared" ca="1" si="26"/>
        <v>1944273</v>
      </c>
      <c r="J156" s="131">
        <f t="shared" ca="1" si="26"/>
        <v>1770829</v>
      </c>
      <c r="K156" s="132">
        <f t="shared" ca="1" si="26"/>
        <v>1597385</v>
      </c>
    </row>
    <row r="157" spans="2:11" ht="15.75" customHeight="1">
      <c r="D157" s="91"/>
      <c r="E157" s="91"/>
      <c r="F157" s="133"/>
      <c r="G157" s="134"/>
      <c r="H157" s="134"/>
      <c r="I157" s="134"/>
      <c r="J157" s="134"/>
      <c r="K157" s="134"/>
    </row>
    <row r="158" spans="2:11" ht="15.75" customHeight="1">
      <c r="B158" t="s">
        <v>0</v>
      </c>
      <c r="C158" s="57" t="s">
        <v>196</v>
      </c>
      <c r="D158" s="116"/>
      <c r="E158" s="116"/>
      <c r="F158" s="116"/>
      <c r="G158" s="135"/>
      <c r="H158" s="135"/>
      <c r="I158" s="135"/>
      <c r="J158" s="135"/>
      <c r="K158" s="135"/>
    </row>
    <row r="159" spans="2:11" ht="15.75" customHeight="1">
      <c r="C159" s="79" t="str">
        <f t="shared" ref="C159:K159" si="27">C14</f>
        <v xml:space="preserve">Fiscal year  </v>
      </c>
      <c r="D159" s="81">
        <f t="shared" si="27"/>
        <v>2023</v>
      </c>
      <c r="E159" s="81">
        <f t="shared" si="27"/>
        <v>2024</v>
      </c>
      <c r="F159" s="81">
        <f t="shared" si="27"/>
        <v>2025</v>
      </c>
      <c r="G159" s="83">
        <f t="shared" si="27"/>
        <v>2026</v>
      </c>
      <c r="H159" s="83">
        <f t="shared" si="27"/>
        <v>2027</v>
      </c>
      <c r="I159" s="83">
        <f t="shared" si="27"/>
        <v>2028</v>
      </c>
      <c r="J159" s="83">
        <f t="shared" si="27"/>
        <v>2029</v>
      </c>
      <c r="K159" s="83">
        <f t="shared" si="27"/>
        <v>2030</v>
      </c>
    </row>
    <row r="160" spans="2:11" ht="15.75" customHeight="1">
      <c r="C160" s="6" t="str">
        <f t="shared" ref="C160:K160" si="28">C15</f>
        <v>Fiscal year end date</v>
      </c>
      <c r="D160" s="85">
        <f t="shared" si="28"/>
        <v>45291</v>
      </c>
      <c r="E160" s="85">
        <f t="shared" si="28"/>
        <v>45657</v>
      </c>
      <c r="F160" s="85">
        <f t="shared" si="28"/>
        <v>46022</v>
      </c>
      <c r="G160" s="85">
        <f t="shared" si="28"/>
        <v>46387</v>
      </c>
      <c r="H160" s="85">
        <f t="shared" si="28"/>
        <v>46752</v>
      </c>
      <c r="I160" s="85">
        <f t="shared" si="28"/>
        <v>47118</v>
      </c>
      <c r="J160" s="85">
        <f t="shared" si="28"/>
        <v>47483</v>
      </c>
      <c r="K160" s="85">
        <f t="shared" si="28"/>
        <v>47848</v>
      </c>
    </row>
    <row r="161" spans="3:11" ht="15.75" customHeight="1">
      <c r="C161" s="44"/>
      <c r="D161" s="91"/>
      <c r="E161" s="91"/>
      <c r="F161" s="91"/>
      <c r="G161" s="136"/>
      <c r="H161" s="136"/>
      <c r="I161" s="136"/>
      <c r="J161" s="136"/>
      <c r="K161" s="136"/>
    </row>
    <row r="162" spans="3:11" ht="15.75" customHeight="1">
      <c r="C162" s="95" t="s">
        <v>197</v>
      </c>
      <c r="D162" s="91"/>
      <c r="E162" s="91"/>
      <c r="F162" s="98">
        <f>F25</f>
        <v>-174217</v>
      </c>
      <c r="G162" s="98">
        <f ca="1">G167+G172</f>
        <v>-138781.62900000002</v>
      </c>
      <c r="H162" s="98">
        <f ca="1">H167+H172</f>
        <v>-134154.65700000001</v>
      </c>
      <c r="I162" s="98">
        <f ca="1">I167+I172</f>
        <v>-126377.685</v>
      </c>
      <c r="J162" s="98">
        <f ca="1">J167+J172</f>
        <v>-117025.713</v>
      </c>
      <c r="K162" s="98">
        <f ca="1">K167+K172</f>
        <v>-106098.74099999999</v>
      </c>
    </row>
    <row r="163" spans="3:11" ht="15.75" customHeight="1">
      <c r="C163" s="137"/>
    </row>
    <row r="164" spans="3:11" ht="15.75" customHeight="1">
      <c r="C164" s="138" t="s">
        <v>198</v>
      </c>
    </row>
    <row r="165" spans="3:11" ht="15.75" customHeight="1">
      <c r="C165" s="44" t="s">
        <v>199</v>
      </c>
      <c r="G165" s="43">
        <v>6.0499999999999998E-2</v>
      </c>
      <c r="H165" s="43">
        <v>6.0499999999999998E-2</v>
      </c>
      <c r="I165" s="43">
        <v>6.0499999999999998E-2</v>
      </c>
      <c r="J165" s="43">
        <v>6.0499999999999998E-2</v>
      </c>
      <c r="K165" s="43">
        <v>6.0499999999999998E-2</v>
      </c>
    </row>
    <row r="166" spans="3:11" ht="15.75" customHeight="1">
      <c r="C166" s="44" t="s">
        <v>200</v>
      </c>
      <c r="D166" s="91"/>
      <c r="E166" s="91"/>
      <c r="F166" s="91">
        <v>0</v>
      </c>
      <c r="G166" s="91">
        <f ca="1">G155</f>
        <v>0</v>
      </c>
      <c r="H166" s="91">
        <f ca="1">H155</f>
        <v>0</v>
      </c>
      <c r="I166" s="91">
        <f ca="1">I155</f>
        <v>0</v>
      </c>
      <c r="J166" s="91">
        <f ca="1">J155</f>
        <v>0</v>
      </c>
      <c r="K166" s="91">
        <f ca="1">K155</f>
        <v>0</v>
      </c>
    </row>
    <row r="167" spans="3:11" ht="15.75" customHeight="1">
      <c r="C167" s="139" t="s">
        <v>201</v>
      </c>
      <c r="D167" s="140"/>
      <c r="E167" s="140"/>
      <c r="F167" s="141">
        <v>0</v>
      </c>
      <c r="G167" s="141">
        <f ca="1">-G165*(F166+G166)/2</f>
        <v>0</v>
      </c>
      <c r="H167" s="141">
        <f ca="1">-H165*(G166+H166)/2</f>
        <v>0</v>
      </c>
      <c r="I167" s="141">
        <f ca="1">-I165*(H166+I166)/2</f>
        <v>0</v>
      </c>
      <c r="J167" s="141">
        <f ca="1">-J165*(I166+J166)/2</f>
        <v>0</v>
      </c>
      <c r="K167" s="141">
        <f ca="1">-K165*(J166+K166)/2</f>
        <v>0</v>
      </c>
    </row>
    <row r="168" spans="3:11" ht="15.75" customHeight="1">
      <c r="C168" s="89"/>
      <c r="D168" s="91"/>
      <c r="E168" s="91"/>
      <c r="F168" s="91"/>
    </row>
    <row r="169" spans="3:11" ht="15.75" customHeight="1">
      <c r="C169" s="138" t="s">
        <v>131</v>
      </c>
      <c r="D169" s="91"/>
      <c r="E169" s="91"/>
      <c r="F169" s="91"/>
    </row>
    <row r="170" spans="3:11" ht="15.75" customHeight="1">
      <c r="C170" s="44" t="s">
        <v>200</v>
      </c>
      <c r="D170" s="91"/>
      <c r="E170" s="91">
        <f t="shared" ref="E170:K170" si="29">E75+E73</f>
        <v>2231426</v>
      </c>
      <c r="F170" s="91">
        <f t="shared" si="29"/>
        <v>2214605</v>
      </c>
      <c r="G170" s="91">
        <f t="shared" ca="1" si="29"/>
        <v>2191161</v>
      </c>
      <c r="H170" s="91">
        <f t="shared" ca="1" si="29"/>
        <v>2067717</v>
      </c>
      <c r="I170" s="91">
        <f t="shared" ca="1" si="29"/>
        <v>1944273</v>
      </c>
      <c r="J170" s="91">
        <f t="shared" ca="1" si="29"/>
        <v>1770829</v>
      </c>
      <c r="K170" s="91">
        <f t="shared" ca="1" si="29"/>
        <v>1597385</v>
      </c>
    </row>
    <row r="171" spans="3:11" ht="15.75" customHeight="1">
      <c r="C171" s="44" t="s">
        <v>199</v>
      </c>
      <c r="E171" s="118"/>
      <c r="F171" s="112">
        <f>-F25/((E170+F170)/2)</f>
        <v>7.8369673985628982E-2</v>
      </c>
      <c r="G171" s="43">
        <v>6.3E-2</v>
      </c>
      <c r="H171" s="43">
        <v>6.3E-2</v>
      </c>
      <c r="I171" s="43">
        <v>6.3E-2</v>
      </c>
      <c r="J171" s="43">
        <v>6.3E-2</v>
      </c>
      <c r="K171" s="43">
        <v>6.3E-2</v>
      </c>
    </row>
    <row r="172" spans="3:11" ht="15.75" customHeight="1">
      <c r="C172" s="111" t="s">
        <v>74</v>
      </c>
      <c r="D172" s="102"/>
      <c r="E172" s="102"/>
      <c r="F172" s="91">
        <f>F25</f>
        <v>-174217</v>
      </c>
      <c r="G172" s="91">
        <f ca="1">-G171*(F170+G170)/2</f>
        <v>-138781.62900000002</v>
      </c>
      <c r="H172" s="91">
        <f ca="1">-H171*(G170+H170)/2</f>
        <v>-134154.65700000001</v>
      </c>
      <c r="I172" s="91">
        <f ca="1">-I171*(H170+I170)/2</f>
        <v>-126377.685</v>
      </c>
      <c r="J172" s="91">
        <f ca="1">-J171*(I170+J170)/2</f>
        <v>-117025.713</v>
      </c>
      <c r="K172" s="91">
        <f ca="1">-K171*(J170+K170)/2</f>
        <v>-106098.74099999999</v>
      </c>
    </row>
    <row r="173" spans="3:11" ht="15.75" customHeight="1">
      <c r="C173" s="111"/>
      <c r="D173" s="102"/>
      <c r="E173" s="102"/>
      <c r="F173" s="102"/>
      <c r="G173" s="102"/>
      <c r="H173" s="102"/>
      <c r="I173" s="102"/>
      <c r="J173" s="102"/>
      <c r="K173" s="102"/>
    </row>
    <row r="174" spans="3:11" ht="15.75" customHeight="1">
      <c r="C174" s="137" t="s">
        <v>202</v>
      </c>
      <c r="E174" s="91"/>
      <c r="F174" s="91"/>
    </row>
    <row r="175" spans="3:11" ht="15.75" customHeight="1">
      <c r="C175" s="44" t="s">
        <v>203</v>
      </c>
      <c r="F175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</row>
    <row r="176" spans="3:11" ht="15.75" customHeight="1">
      <c r="C176" s="44" t="s">
        <v>73</v>
      </c>
      <c r="D176" s="91"/>
      <c r="E176" s="91"/>
      <c r="F176" s="91">
        <f>F24</f>
        <v>0</v>
      </c>
      <c r="G176" s="91">
        <f ca="1">G175*(F49+G49)/2</f>
        <v>0</v>
      </c>
      <c r="H176" s="91">
        <f ca="1">H175*(G49+H49)/2</f>
        <v>0</v>
      </c>
      <c r="I176" s="91">
        <f ca="1">I175*(H49+I49)/2</f>
        <v>0</v>
      </c>
      <c r="J176" s="91">
        <f ca="1">J175*(I49+J49)/2</f>
        <v>0</v>
      </c>
      <c r="K176" s="91">
        <f ca="1">K175*(J49+K49)/2</f>
        <v>0</v>
      </c>
    </row>
  </sheetData>
  <mergeCells count="1">
    <mergeCell ref="G121:K121"/>
  </mergeCells>
  <conditionalFormatting sqref="C41">
    <cfRule type="expression" dxfId="3" priority="2">
      <formula>#REF!=$C41</formula>
    </cfRule>
  </conditionalFormatting>
  <dataValidations count="2">
    <dataValidation type="list" allowBlank="1" showInputMessage="1" showErrorMessage="1" sqref="C3" xr:uid="{00000000-0002-0000-0800-000000000000}">
      <formula1>"$ bns except per share,$ mm except per share,$ in thousands except per share"</formula1>
      <formula2>0</formula2>
    </dataValidation>
    <dataValidation type="list" allowBlank="1" showInputMessage="1" showErrorMessage="1" sqref="D7" xr:uid="{00000000-0002-0000-0800-000001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O176"/>
  <sheetViews>
    <sheetView showGridLines="0" topLeftCell="A16" zoomScale="116" zoomScaleNormal="116" workbookViewId="0">
      <selection activeCell="K39" sqref="K39"/>
    </sheetView>
  </sheetViews>
  <sheetFormatPr baseColWidth="10" defaultColWidth="11" defaultRowHeight="16"/>
  <cols>
    <col min="1" max="1" width="2.5" customWidth="1"/>
    <col min="2" max="2" width="2.1640625" customWidth="1"/>
    <col min="3" max="3" width="26.1640625" customWidth="1"/>
    <col min="4" max="4" width="12.6640625" customWidth="1"/>
    <col min="7" max="7" width="12.5" customWidth="1"/>
    <col min="12" max="12" width="2.1640625" customWidth="1"/>
  </cols>
  <sheetData>
    <row r="1" spans="2:15" ht="16.5" customHeight="1"/>
    <row r="2" spans="2:15" ht="16.5" customHeight="1">
      <c r="B2" t="s">
        <v>0</v>
      </c>
      <c r="C2" s="2" t="str">
        <f>"Financial Statement Model for "&amp;D5</f>
        <v>Financial Statement Model for StandardAero</v>
      </c>
      <c r="D2" s="3"/>
      <c r="E2" s="3"/>
      <c r="F2" s="3"/>
      <c r="G2" s="3"/>
      <c r="H2" s="3"/>
      <c r="I2" s="3"/>
      <c r="J2" s="3"/>
      <c r="K2" s="3"/>
    </row>
    <row r="3" spans="2:15" ht="15.75" customHeight="1">
      <c r="C3" s="4" t="s">
        <v>1</v>
      </c>
      <c r="D3" s="5"/>
      <c r="E3" s="5"/>
      <c r="F3" s="5"/>
      <c r="G3" s="5"/>
      <c r="H3" s="5"/>
    </row>
    <row r="5" spans="2:15" ht="15.75" customHeight="1">
      <c r="C5" s="282" t="s">
        <v>3</v>
      </c>
      <c r="D5" s="283" t="s">
        <v>4</v>
      </c>
    </row>
    <row r="6" spans="2:15" ht="15.75" customHeight="1">
      <c r="C6" s="282" t="s">
        <v>5</v>
      </c>
      <c r="D6" s="283" t="s">
        <v>6</v>
      </c>
    </row>
    <row r="7" spans="2:15" ht="15.75" customHeight="1">
      <c r="C7" t="s">
        <v>377</v>
      </c>
      <c r="D7" s="292">
        <v>1</v>
      </c>
    </row>
    <row r="8" spans="2:15" ht="15.75" customHeight="1">
      <c r="C8" t="s">
        <v>7</v>
      </c>
      <c r="D8" s="284">
        <v>25.59</v>
      </c>
    </row>
    <row r="9" spans="2:15" ht="15.75" customHeight="1">
      <c r="C9" t="s">
        <v>8</v>
      </c>
      <c r="D9" s="285">
        <v>46119</v>
      </c>
    </row>
    <row r="10" spans="2:15" ht="15.75" customHeight="1">
      <c r="C10" s="282" t="s">
        <v>9</v>
      </c>
      <c r="D10" s="286">
        <v>46022</v>
      </c>
    </row>
    <row r="11" spans="2:15" ht="15.75" customHeight="1">
      <c r="C11" t="s">
        <v>10</v>
      </c>
      <c r="D11" s="287">
        <v>334294</v>
      </c>
    </row>
    <row r="13" spans="2:15" ht="15.75" customHeight="1">
      <c r="B13" t="s">
        <v>0</v>
      </c>
      <c r="C13" s="57" t="s">
        <v>61</v>
      </c>
      <c r="D13" s="6"/>
      <c r="E13" s="6"/>
      <c r="F13" s="6"/>
      <c r="G13" s="6"/>
      <c r="H13" s="6"/>
      <c r="I13" s="6"/>
      <c r="J13" s="6"/>
      <c r="K13" s="6"/>
    </row>
    <row r="14" spans="2:15" ht="15.75" customHeight="1">
      <c r="C14" t="s">
        <v>22</v>
      </c>
      <c r="D14" s="58">
        <f>E14-1</f>
        <v>2023</v>
      </c>
      <c r="E14" s="58">
        <f>F14-1</f>
        <v>2024</v>
      </c>
      <c r="F14" s="58">
        <f>YEAR(D10)</f>
        <v>2025</v>
      </c>
      <c r="G14" s="59">
        <f>F14+1</f>
        <v>2026</v>
      </c>
      <c r="H14" s="59">
        <f>G14+1</f>
        <v>2027</v>
      </c>
      <c r="I14" s="59">
        <f>H14+1</f>
        <v>2028</v>
      </c>
      <c r="J14" s="59">
        <f>I14+1</f>
        <v>2029</v>
      </c>
      <c r="K14" s="59">
        <f>J14+1</f>
        <v>2030</v>
      </c>
    </row>
    <row r="15" spans="2:15" ht="15.75" customHeight="1">
      <c r="C15" s="30" t="s">
        <v>23</v>
      </c>
      <c r="D15" s="31">
        <f>EOMONTH(E15,-12)</f>
        <v>45291</v>
      </c>
      <c r="E15" s="31">
        <f>EOMONTH(F15,-12)</f>
        <v>45657</v>
      </c>
      <c r="F15" s="31">
        <f>D10</f>
        <v>46022</v>
      </c>
      <c r="G15" s="31">
        <f>EOMONTH(F15,12)</f>
        <v>46387</v>
      </c>
      <c r="H15" s="31">
        <f>EOMONTH(G15,12)</f>
        <v>46752</v>
      </c>
      <c r="I15" s="31">
        <f>EOMONTH(H15,12)</f>
        <v>47118</v>
      </c>
      <c r="J15" s="31">
        <f>EOMONTH(I15,12)</f>
        <v>47483</v>
      </c>
      <c r="K15" s="31">
        <f>EOMONTH(J15,12)</f>
        <v>47848</v>
      </c>
      <c r="M15" s="57" t="s">
        <v>2</v>
      </c>
      <c r="N15" s="6"/>
      <c r="O15" s="6"/>
    </row>
    <row r="16" spans="2:15" ht="15.75" customHeight="1">
      <c r="C16" s="60"/>
      <c r="D16" s="61"/>
      <c r="E16" s="62"/>
      <c r="F16" s="62"/>
      <c r="G16" s="63"/>
      <c r="H16" s="64"/>
      <c r="I16" s="64"/>
      <c r="J16" s="62"/>
      <c r="K16" s="62"/>
    </row>
    <row r="17" spans="3:14" ht="15.75" customHeight="1">
      <c r="C17" t="s">
        <v>386</v>
      </c>
      <c r="D17" s="49">
        <v>4563284</v>
      </c>
      <c r="E17" s="49">
        <v>5237161</v>
      </c>
      <c r="F17" s="49">
        <v>6062513</v>
      </c>
      <c r="G17" s="91">
        <f>F17*(1+G39)</f>
        <v>6971889.9499999993</v>
      </c>
      <c r="H17" s="91">
        <f>G17*(1+H39)</f>
        <v>7878235.6434999984</v>
      </c>
      <c r="I17" s="91">
        <f>H17*(1+I39)</f>
        <v>8823623.9207199998</v>
      </c>
      <c r="J17" s="91">
        <f>I17*(1+J39)</f>
        <v>9794222.5519992001</v>
      </c>
      <c r="K17" s="91">
        <f>J17*(1+K39)</f>
        <v>10773644.807199121</v>
      </c>
    </row>
    <row r="18" spans="3:14" ht="15.75" customHeight="1">
      <c r="C18" t="s">
        <v>66</v>
      </c>
      <c r="D18" s="49">
        <v>-3927965</v>
      </c>
      <c r="E18" s="49">
        <v>-4483019</v>
      </c>
      <c r="F18" s="49">
        <v>-5165060</v>
      </c>
      <c r="G18" s="91">
        <f>G19-G17</f>
        <v>-5912162.6775999991</v>
      </c>
      <c r="H18" s="91">
        <f>H19-H17</f>
        <v>-6657109.1187574985</v>
      </c>
      <c r="I18" s="91">
        <f>I19-I17</f>
        <v>-7411844.0934047997</v>
      </c>
      <c r="J18" s="91">
        <f>J19-J17</f>
        <v>-8197764.2760233302</v>
      </c>
      <c r="K18" s="91">
        <f>K19-K17</f>
        <v>-8995993.4140112661</v>
      </c>
    </row>
    <row r="19" spans="3:14" ht="15.75" customHeight="1">
      <c r="C19" s="72" t="s">
        <v>67</v>
      </c>
      <c r="D19" s="98">
        <f>SUM(D17:D18)</f>
        <v>635319</v>
      </c>
      <c r="E19" s="98">
        <f>SUM(E17:E18)</f>
        <v>754142</v>
      </c>
      <c r="F19" s="98">
        <f>SUM(F17:F18)</f>
        <v>897453</v>
      </c>
      <c r="G19" s="102">
        <f>G17*G40</f>
        <v>1059727.2723999999</v>
      </c>
      <c r="H19" s="102">
        <f>H17*H40</f>
        <v>1221126.5247424997</v>
      </c>
      <c r="I19" s="102">
        <f>I17*I40</f>
        <v>1411779.8273151999</v>
      </c>
      <c r="J19" s="102">
        <f>J17*J40</f>
        <v>1596458.2759758697</v>
      </c>
      <c r="K19" s="102">
        <f>K17*K40</f>
        <v>1777651.3931878549</v>
      </c>
    </row>
    <row r="20" spans="3:14" ht="15.75" customHeight="1">
      <c r="C20" t="s">
        <v>68</v>
      </c>
      <c r="D20" s="49">
        <v>-93681</v>
      </c>
      <c r="E20" s="49">
        <v>-95457</v>
      </c>
      <c r="F20" s="49">
        <v>-98681</v>
      </c>
      <c r="G20" s="49">
        <v>-91258</v>
      </c>
      <c r="H20" s="49">
        <v>-83535</v>
      </c>
      <c r="I20" s="49">
        <v>-82364</v>
      </c>
      <c r="J20" s="49">
        <v>-79976</v>
      </c>
      <c r="K20" s="49">
        <v>-79197</v>
      </c>
    </row>
    <row r="21" spans="3:14" ht="15.75" customHeight="1">
      <c r="C21" t="s">
        <v>70</v>
      </c>
      <c r="D21" s="49">
        <v>-202766</v>
      </c>
      <c r="E21" s="49">
        <v>-254092</v>
      </c>
      <c r="F21" s="49">
        <v>-247703</v>
      </c>
      <c r="G21" s="91">
        <f>-G17*G41</f>
        <v>-285847.48794999998</v>
      </c>
      <c r="H21" s="91">
        <f>-H17*H41</f>
        <v>-315129.42573999992</v>
      </c>
      <c r="I21" s="91">
        <f>-I17*I41</f>
        <v>-344121.33290808002</v>
      </c>
      <c r="J21" s="91">
        <f>-J17*J41</f>
        <v>-372180.4569759696</v>
      </c>
      <c r="K21" s="91">
        <f>-K17*K41</f>
        <v>-398624.85786636744</v>
      </c>
    </row>
    <row r="22" spans="3:14" ht="15.75" customHeight="1">
      <c r="C22" t="s">
        <v>71</v>
      </c>
      <c r="D22" s="49">
        <v>-1514</v>
      </c>
      <c r="E22" s="49">
        <v>-1374</v>
      </c>
      <c r="F22" s="49">
        <v>0</v>
      </c>
      <c r="G22" s="91">
        <f>F22</f>
        <v>0</v>
      </c>
      <c r="H22" s="91">
        <f>G22</f>
        <v>0</v>
      </c>
      <c r="I22" s="91">
        <f>H22</f>
        <v>0</v>
      </c>
      <c r="J22" s="91">
        <f>I22</f>
        <v>0</v>
      </c>
      <c r="K22" s="91">
        <f>J22</f>
        <v>0</v>
      </c>
    </row>
    <row r="23" spans="3:14" ht="15.75" customHeight="1">
      <c r="C23" s="72" t="s">
        <v>72</v>
      </c>
      <c r="D23" s="98">
        <f t="shared" ref="D23:K23" si="0">SUM(D19:D22)</f>
        <v>337358</v>
      </c>
      <c r="E23" s="98">
        <f t="shared" si="0"/>
        <v>403219</v>
      </c>
      <c r="F23" s="98">
        <f t="shared" si="0"/>
        <v>551069</v>
      </c>
      <c r="G23" s="102">
        <f t="shared" si="0"/>
        <v>682621.78444999992</v>
      </c>
      <c r="H23" s="102">
        <f t="shared" si="0"/>
        <v>822462.09900249983</v>
      </c>
      <c r="I23" s="102">
        <f t="shared" si="0"/>
        <v>985294.49440711993</v>
      </c>
      <c r="J23" s="102">
        <f t="shared" si="0"/>
        <v>1144301.8189999</v>
      </c>
      <c r="K23" s="102">
        <f t="shared" si="0"/>
        <v>1299829.5353214876</v>
      </c>
      <c r="M23" s="72"/>
    </row>
    <row r="24" spans="3:14" ht="15.75" customHeight="1">
      <c r="C24" t="s">
        <v>73</v>
      </c>
      <c r="D24" s="49">
        <v>0</v>
      </c>
      <c r="E24" s="49">
        <v>0</v>
      </c>
      <c r="F24" s="49">
        <v>0</v>
      </c>
      <c r="G24" s="91">
        <v>0</v>
      </c>
      <c r="H24" s="91">
        <v>0</v>
      </c>
      <c r="I24" s="91">
        <v>0</v>
      </c>
      <c r="J24" s="91">
        <v>0</v>
      </c>
      <c r="K24" s="91">
        <v>0</v>
      </c>
    </row>
    <row r="25" spans="3:14" ht="15.75" customHeight="1">
      <c r="C25" t="s">
        <v>74</v>
      </c>
      <c r="D25" s="49">
        <v>-309645</v>
      </c>
      <c r="E25" s="49">
        <v>-282507</v>
      </c>
      <c r="F25" s="49">
        <v>-174217</v>
      </c>
      <c r="G25" s="91">
        <f ca="1">G162</f>
        <v>-138781.62900000002</v>
      </c>
      <c r="H25" s="91">
        <f ca="1">H162</f>
        <v>-137304.65700000001</v>
      </c>
      <c r="I25" s="91">
        <f ca="1">I162</f>
        <v>-135827.685</v>
      </c>
      <c r="J25" s="91">
        <f ca="1">J162</f>
        <v>-134350.71299999999</v>
      </c>
      <c r="K25" s="91">
        <f ca="1">K162</f>
        <v>-132873.74100000001</v>
      </c>
    </row>
    <row r="26" spans="3:14" ht="15.75" customHeight="1">
      <c r="C26" t="s">
        <v>76</v>
      </c>
      <c r="D26" s="49">
        <v>-19921</v>
      </c>
      <c r="E26" s="49">
        <v>-23700</v>
      </c>
      <c r="F26" s="49">
        <v>0</v>
      </c>
      <c r="G26" s="91">
        <f t="shared" ref="G26:K27" si="1">F26</f>
        <v>0</v>
      </c>
      <c r="H26" s="91">
        <f t="shared" si="1"/>
        <v>0</v>
      </c>
      <c r="I26" s="91">
        <f t="shared" si="1"/>
        <v>0</v>
      </c>
      <c r="J26" s="91">
        <f t="shared" si="1"/>
        <v>0</v>
      </c>
      <c r="K26" s="91">
        <f t="shared" si="1"/>
        <v>0</v>
      </c>
    </row>
    <row r="27" spans="3:14" ht="15.75" customHeight="1">
      <c r="C27" t="s">
        <v>77</v>
      </c>
      <c r="D27" s="49">
        <v>-6182</v>
      </c>
      <c r="E27" s="49">
        <v>-15255</v>
      </c>
      <c r="F27" s="49">
        <v>0</v>
      </c>
      <c r="G27" s="91">
        <f t="shared" si="1"/>
        <v>0</v>
      </c>
      <c r="H27" s="91">
        <f t="shared" si="1"/>
        <v>0</v>
      </c>
      <c r="I27" s="91">
        <f t="shared" si="1"/>
        <v>0</v>
      </c>
      <c r="J27" s="91">
        <f t="shared" si="1"/>
        <v>0</v>
      </c>
      <c r="K27" s="91">
        <f t="shared" si="1"/>
        <v>0</v>
      </c>
    </row>
    <row r="28" spans="3:14" ht="15.75" customHeight="1">
      <c r="C28" t="s">
        <v>78</v>
      </c>
      <c r="D28" s="49">
        <v>3509</v>
      </c>
      <c r="E28" s="49">
        <v>0</v>
      </c>
      <c r="F28" s="49">
        <v>0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</row>
    <row r="29" spans="3:14" ht="15.75" customHeight="1">
      <c r="C29" s="72" t="s">
        <v>79</v>
      </c>
      <c r="D29" s="98">
        <f t="shared" ref="D29:K29" si="2">SUM(D23:D28)</f>
        <v>5119</v>
      </c>
      <c r="E29" s="98">
        <f t="shared" si="2"/>
        <v>81757</v>
      </c>
      <c r="F29" s="98">
        <f t="shared" si="2"/>
        <v>376852</v>
      </c>
      <c r="G29" s="102">
        <f t="shared" ca="1" si="2"/>
        <v>543840.15544999996</v>
      </c>
      <c r="H29" s="102">
        <f t="shared" ca="1" si="2"/>
        <v>685157.44200249983</v>
      </c>
      <c r="I29" s="102">
        <f t="shared" ca="1" si="2"/>
        <v>849466.80940711987</v>
      </c>
      <c r="J29" s="102">
        <f t="shared" ca="1" si="2"/>
        <v>1009951.1059999</v>
      </c>
      <c r="K29" s="102">
        <f t="shared" ca="1" si="2"/>
        <v>1166955.7943214877</v>
      </c>
      <c r="M29" s="72"/>
      <c r="N29" s="72"/>
    </row>
    <row r="30" spans="3:14" ht="15.75" customHeight="1">
      <c r="C30" t="s">
        <v>80</v>
      </c>
      <c r="D30" s="49">
        <v>-40180</v>
      </c>
      <c r="E30" s="49">
        <v>-70783</v>
      </c>
      <c r="F30" s="49">
        <v>-99435</v>
      </c>
      <c r="G30" s="91">
        <f ca="1">-G29*G42</f>
        <v>-135960.03886249999</v>
      </c>
      <c r="H30" s="91">
        <f ca="1">-H29*H42</f>
        <v>-171289.36050062496</v>
      </c>
      <c r="I30" s="91">
        <f ca="1">-I29*I42</f>
        <v>-212366.70235177997</v>
      </c>
      <c r="J30" s="91">
        <f ca="1">-J29*J42</f>
        <v>-252487.77649997501</v>
      </c>
      <c r="K30" s="91">
        <f ca="1">-K29*K42</f>
        <v>-291738.94858037191</v>
      </c>
    </row>
    <row r="31" spans="3:14" ht="15.75" customHeight="1">
      <c r="C31" s="72" t="s">
        <v>81</v>
      </c>
      <c r="D31" s="98">
        <f t="shared" ref="D31:K31" si="3">SUM(D29:D30)</f>
        <v>-35061</v>
      </c>
      <c r="E31" s="98">
        <f t="shared" si="3"/>
        <v>10974</v>
      </c>
      <c r="F31" s="98">
        <f t="shared" si="3"/>
        <v>277417</v>
      </c>
      <c r="G31" s="102">
        <f t="shared" ca="1" si="3"/>
        <v>407880.11658749997</v>
      </c>
      <c r="H31" s="102">
        <f t="shared" ca="1" si="3"/>
        <v>513868.08150187484</v>
      </c>
      <c r="I31" s="102">
        <f t="shared" ca="1" si="3"/>
        <v>637100.10705533996</v>
      </c>
      <c r="J31" s="102">
        <f t="shared" ca="1" si="3"/>
        <v>757463.32949992502</v>
      </c>
      <c r="K31" s="102">
        <f t="shared" ca="1" si="3"/>
        <v>875216.84574111574</v>
      </c>
      <c r="M31" s="72"/>
    </row>
    <row r="32" spans="3:14" ht="15.75" customHeight="1">
      <c r="C32" s="44"/>
      <c r="D32" s="91"/>
      <c r="E32" s="91"/>
      <c r="F32" s="91"/>
      <c r="G32" s="91"/>
      <c r="H32" s="91"/>
      <c r="I32" s="91"/>
      <c r="J32" s="91"/>
      <c r="K32" s="91"/>
    </row>
    <row r="33" spans="2:15" ht="15.75" customHeight="1">
      <c r="C33" s="95" t="s">
        <v>82</v>
      </c>
      <c r="D33" s="49">
        <v>197104</v>
      </c>
      <c r="E33" s="49">
        <v>188164</v>
      </c>
      <c r="F33" s="49">
        <v>193664</v>
      </c>
      <c r="G33" s="91">
        <f>G132</f>
        <v>193183</v>
      </c>
      <c r="H33" s="91">
        <f>H132</f>
        <v>192236.79999999999</v>
      </c>
      <c r="I33" s="91">
        <f>I132</f>
        <v>200408.45600000001</v>
      </c>
      <c r="J33" s="91">
        <f>J132</f>
        <v>207221.59616000002</v>
      </c>
      <c r="K33" s="91">
        <f>K132</f>
        <v>216266.55577600002</v>
      </c>
    </row>
    <row r="34" spans="2:15" ht="15.75" customHeight="1">
      <c r="C34" s="97" t="s">
        <v>83</v>
      </c>
      <c r="D34" s="98">
        <f t="shared" ref="D34:K34" si="4">D23+D33</f>
        <v>534462</v>
      </c>
      <c r="E34" s="98">
        <f t="shared" si="4"/>
        <v>591383</v>
      </c>
      <c r="F34" s="98">
        <f t="shared" si="4"/>
        <v>744733</v>
      </c>
      <c r="G34" s="102">
        <f t="shared" si="4"/>
        <v>875804.78444999992</v>
      </c>
      <c r="H34" s="102">
        <f t="shared" si="4"/>
        <v>1014698.8990024999</v>
      </c>
      <c r="I34" s="102">
        <f t="shared" si="4"/>
        <v>1185702.9504071199</v>
      </c>
      <c r="J34" s="102">
        <f t="shared" si="4"/>
        <v>1351523.4151599</v>
      </c>
      <c r="K34" s="102">
        <f t="shared" si="4"/>
        <v>1516096.0910974876</v>
      </c>
      <c r="M34" s="72"/>
    </row>
    <row r="35" spans="2:15" ht="15.75" customHeight="1">
      <c r="C35" s="95" t="s">
        <v>85</v>
      </c>
      <c r="D35" s="49">
        <v>0</v>
      </c>
      <c r="E35" s="49">
        <v>17376</v>
      </c>
      <c r="F35" s="49">
        <v>13237</v>
      </c>
      <c r="G35" s="91">
        <v>13500</v>
      </c>
      <c r="H35" s="91">
        <v>14000</v>
      </c>
      <c r="I35" s="91">
        <v>14500</v>
      </c>
      <c r="J35" s="91">
        <v>15000</v>
      </c>
      <c r="K35" s="91">
        <v>15500</v>
      </c>
    </row>
    <row r="36" spans="2:15" ht="15.75" customHeight="1">
      <c r="C36" s="97" t="s">
        <v>385</v>
      </c>
      <c r="D36" s="98">
        <f t="shared" ref="D36:K36" si="5">D34+D35</f>
        <v>534462</v>
      </c>
      <c r="E36" s="98">
        <f t="shared" si="5"/>
        <v>608759</v>
      </c>
      <c r="F36" s="98">
        <f t="shared" si="5"/>
        <v>757970</v>
      </c>
      <c r="G36" s="102">
        <f t="shared" si="5"/>
        <v>889304.78444999992</v>
      </c>
      <c r="H36" s="102">
        <f t="shared" si="5"/>
        <v>1028698.8990024999</v>
      </c>
      <c r="I36" s="102">
        <f t="shared" si="5"/>
        <v>1200202.9504071199</v>
      </c>
      <c r="J36" s="102">
        <f t="shared" si="5"/>
        <v>1366523.4151599</v>
      </c>
      <c r="K36" s="102">
        <f t="shared" si="5"/>
        <v>1531596.0910974876</v>
      </c>
      <c r="M36" s="72"/>
    </row>
    <row r="37" spans="2:15" ht="15.75" customHeight="1">
      <c r="C37" s="44"/>
      <c r="G37" s="294"/>
    </row>
    <row r="38" spans="2:15" ht="15.75" customHeight="1">
      <c r="C38" s="26" t="s">
        <v>21</v>
      </c>
    </row>
    <row r="39" spans="2:15" ht="15.75" customHeight="1">
      <c r="C39" s="44" t="s">
        <v>24</v>
      </c>
      <c r="D39" s="42"/>
      <c r="E39" s="42">
        <f>(E17-D17)/D17</f>
        <v>0.14767369289310067</v>
      </c>
      <c r="F39" s="42">
        <f>(F17-E17)/E17</f>
        <v>0.15759530783949549</v>
      </c>
      <c r="G39" s="43">
        <v>0.15</v>
      </c>
      <c r="H39" s="43">
        <v>0.13</v>
      </c>
      <c r="I39" s="43">
        <v>0.12</v>
      </c>
      <c r="J39" s="43">
        <v>0.11</v>
      </c>
      <c r="K39" s="43">
        <v>0.1</v>
      </c>
      <c r="M39" t="s">
        <v>25</v>
      </c>
      <c r="O39" s="43"/>
    </row>
    <row r="40" spans="2:15" ht="15.75" customHeight="1">
      <c r="C40" s="44" t="s">
        <v>32</v>
      </c>
      <c r="D40" s="42">
        <f>D19/D17</f>
        <v>0.13922407634501818</v>
      </c>
      <c r="E40" s="42">
        <f>E19/E17</f>
        <v>0.14399824637814265</v>
      </c>
      <c r="F40" s="42">
        <f>F19/F17</f>
        <v>0.14803316710413653</v>
      </c>
      <c r="G40" s="43">
        <v>0.152</v>
      </c>
      <c r="H40" s="43">
        <v>0.155</v>
      </c>
      <c r="I40" s="43">
        <v>0.16</v>
      </c>
      <c r="J40" s="43">
        <v>0.16300000000000001</v>
      </c>
      <c r="K40" s="43">
        <v>0.16500000000000001</v>
      </c>
      <c r="M40" t="s">
        <v>33</v>
      </c>
      <c r="O40" s="43"/>
    </row>
    <row r="41" spans="2:15" ht="15.75" customHeight="1">
      <c r="C41" s="44" t="s">
        <v>36</v>
      </c>
      <c r="D41" s="42">
        <f>-D21/D17</f>
        <v>4.4434227630802729E-2</v>
      </c>
      <c r="E41" s="42">
        <f>-E21/E17</f>
        <v>4.8517125977223158E-2</v>
      </c>
      <c r="F41" s="42">
        <f>-F21/F17</f>
        <v>4.0858139190794313E-2</v>
      </c>
      <c r="G41" s="43">
        <v>4.1000000000000002E-2</v>
      </c>
      <c r="H41" s="43">
        <v>0.04</v>
      </c>
      <c r="I41" s="43">
        <v>3.9E-2</v>
      </c>
      <c r="J41" s="43">
        <v>3.7999999999999999E-2</v>
      </c>
      <c r="K41" s="43">
        <v>3.6999999999999998E-2</v>
      </c>
      <c r="M41" t="s">
        <v>37</v>
      </c>
      <c r="O41" s="43"/>
    </row>
    <row r="42" spans="2:15" ht="15.75" customHeight="1">
      <c r="C42" s="44" t="s">
        <v>40</v>
      </c>
      <c r="D42" s="42">
        <f>-D30/D29</f>
        <v>7.8491892947841375</v>
      </c>
      <c r="E42" s="42">
        <f>-E30/E29</f>
        <v>0.86577296133664394</v>
      </c>
      <c r="F42" s="42">
        <f>-F30/F29</f>
        <v>0.26385689872947471</v>
      </c>
      <c r="G42" s="43">
        <v>0.25</v>
      </c>
      <c r="H42" s="43">
        <v>0.25</v>
      </c>
      <c r="I42" s="43">
        <v>0.25</v>
      </c>
      <c r="J42" s="43">
        <v>0.25</v>
      </c>
      <c r="K42" s="43">
        <v>0.25</v>
      </c>
      <c r="M42" t="s">
        <v>388</v>
      </c>
      <c r="O42" s="43"/>
    </row>
    <row r="43" spans="2:15" ht="15.75" customHeight="1">
      <c r="C43" s="44"/>
      <c r="G43" s="294"/>
    </row>
    <row r="44" spans="2:15" ht="15.75" customHeight="1">
      <c r="B44" t="s">
        <v>0</v>
      </c>
      <c r="C44" s="57" t="s">
        <v>97</v>
      </c>
      <c r="D44" s="31"/>
      <c r="E44" s="31"/>
      <c r="F44" s="31"/>
      <c r="G44" s="6"/>
      <c r="H44" s="6"/>
      <c r="I44" s="6"/>
      <c r="J44" s="6"/>
      <c r="K44" s="6"/>
    </row>
    <row r="45" spans="2:15" ht="15.75" customHeight="1">
      <c r="C45" s="79" t="str">
        <f t="shared" ref="C45:K45" si="6">C14</f>
        <v xml:space="preserve">Fiscal year  </v>
      </c>
      <c r="D45" s="80">
        <f t="shared" si="6"/>
        <v>2023</v>
      </c>
      <c r="E45" s="81">
        <f t="shared" si="6"/>
        <v>2024</v>
      </c>
      <c r="F45" s="81">
        <f t="shared" si="6"/>
        <v>2025</v>
      </c>
      <c r="G45" s="83">
        <f t="shared" si="6"/>
        <v>2026</v>
      </c>
      <c r="H45" s="83">
        <f t="shared" si="6"/>
        <v>2027</v>
      </c>
      <c r="I45" s="83">
        <f t="shared" si="6"/>
        <v>2028</v>
      </c>
      <c r="J45" s="83">
        <f t="shared" si="6"/>
        <v>2029</v>
      </c>
      <c r="K45" s="83">
        <f t="shared" si="6"/>
        <v>2030</v>
      </c>
    </row>
    <row r="46" spans="2:15" ht="15.75" customHeight="1">
      <c r="C46" s="6" t="str">
        <f t="shared" ref="C46:K46" si="7">C15</f>
        <v>Fiscal year end date</v>
      </c>
      <c r="D46" s="84">
        <f t="shared" si="7"/>
        <v>45291</v>
      </c>
      <c r="E46" s="85">
        <f t="shared" si="7"/>
        <v>45657</v>
      </c>
      <c r="F46" s="85">
        <f t="shared" si="7"/>
        <v>46022</v>
      </c>
      <c r="G46" s="85">
        <f t="shared" si="7"/>
        <v>46387</v>
      </c>
      <c r="H46" s="85">
        <f t="shared" si="7"/>
        <v>46752</v>
      </c>
      <c r="I46" s="85">
        <f t="shared" si="7"/>
        <v>47118</v>
      </c>
      <c r="J46" s="85">
        <f t="shared" si="7"/>
        <v>47483</v>
      </c>
      <c r="K46" s="85">
        <f t="shared" si="7"/>
        <v>47848</v>
      </c>
    </row>
    <row r="47" spans="2:15" ht="15.75" customHeight="1">
      <c r="C47" s="25" t="s">
        <v>99</v>
      </c>
      <c r="D47" s="86"/>
      <c r="E47" s="86"/>
      <c r="F47" s="86"/>
      <c r="G47" s="86"/>
      <c r="H47" s="86"/>
      <c r="I47" s="86"/>
      <c r="J47" s="86"/>
      <c r="K47" s="86"/>
    </row>
    <row r="48" spans="2:15" ht="15.75" customHeight="1">
      <c r="C48" s="25" t="s">
        <v>100</v>
      </c>
      <c r="D48" s="86"/>
      <c r="E48" s="86"/>
      <c r="F48" s="86"/>
      <c r="G48" s="86"/>
      <c r="H48" s="86"/>
      <c r="I48" s="86"/>
      <c r="J48" s="86"/>
      <c r="K48" s="86"/>
    </row>
    <row r="49" spans="3:15" ht="15.75" customHeight="1">
      <c r="C49" s="89" t="s">
        <v>101</v>
      </c>
      <c r="D49" s="49"/>
      <c r="E49" s="49">
        <v>102581</v>
      </c>
      <c r="F49" s="49">
        <v>289717</v>
      </c>
      <c r="G49" s="91">
        <f ca="1">F49+G116</f>
        <v>585998.19912014925</v>
      </c>
      <c r="H49" s="91">
        <f ca="1">G49+H116</f>
        <v>976159.72129373881</v>
      </c>
      <c r="I49" s="91">
        <f ca="1">H49+I116</f>
        <v>1477423.7230262121</v>
      </c>
      <c r="J49" s="91">
        <f ca="1">I49+J116</f>
        <v>2087325.3407735797</v>
      </c>
      <c r="K49" s="91">
        <f ca="1">J49+K116</f>
        <v>2809127.14879994</v>
      </c>
    </row>
    <row r="50" spans="3:15" ht="15.75" customHeight="1">
      <c r="C50" s="89" t="s">
        <v>102</v>
      </c>
      <c r="D50" s="49"/>
      <c r="E50" s="49">
        <v>580668</v>
      </c>
      <c r="F50" s="49">
        <v>654390</v>
      </c>
      <c r="G50" s="91">
        <f>F50*(1+G39)</f>
        <v>752548.5</v>
      </c>
      <c r="H50" s="91">
        <f>G50*(1+H39)</f>
        <v>850379.80499999993</v>
      </c>
      <c r="I50" s="91">
        <f>H50*(1+I39)</f>
        <v>952425.38159999996</v>
      </c>
      <c r="J50" s="91">
        <f>I50*(1+J39)</f>
        <v>1057192.1735760001</v>
      </c>
      <c r="K50" s="91">
        <f>J50*(1+K39)</f>
        <v>1162911.3909336003</v>
      </c>
    </row>
    <row r="51" spans="3:15" ht="15.75" customHeight="1">
      <c r="C51" s="89" t="s">
        <v>103</v>
      </c>
      <c r="D51" s="49"/>
      <c r="E51" s="49">
        <v>915200</v>
      </c>
      <c r="F51" s="49">
        <v>1071703</v>
      </c>
      <c r="G51" s="91">
        <f>F51*(1+G39)</f>
        <v>1232458.45</v>
      </c>
      <c r="H51" s="91">
        <f>G51*(1+H39)</f>
        <v>1392678.0484999998</v>
      </c>
      <c r="I51" s="91">
        <f>H51*(1+I39)</f>
        <v>1559799.41432</v>
      </c>
      <c r="J51" s="91">
        <f>I51*(1+J39)</f>
        <v>1731377.3498952002</v>
      </c>
      <c r="K51" s="91">
        <f>J51*(1+K39)</f>
        <v>1904515.0848847204</v>
      </c>
    </row>
    <row r="52" spans="3:15" ht="15.75" customHeight="1">
      <c r="C52" s="89" t="s">
        <v>104</v>
      </c>
      <c r="D52" s="49"/>
      <c r="E52" s="49">
        <v>847018</v>
      </c>
      <c r="F52" s="49">
        <v>827691</v>
      </c>
      <c r="G52" s="91">
        <f>F52*(1+((G18-F18)/F18))</f>
        <v>947412.77715755883</v>
      </c>
      <c r="H52" s="91">
        <f>G52*(1+((H18-G18)/G18))</f>
        <v>1066789.0215435082</v>
      </c>
      <c r="I52" s="91">
        <f>H52*(1+((I18-H18)/H18))</f>
        <v>1187733.8597256008</v>
      </c>
      <c r="J52" s="91">
        <f>I52*(1+((J18-I18)/I18))</f>
        <v>1313676.0679229333</v>
      </c>
      <c r="K52" s="91">
        <f>J52*(1+((K18-J18)/J18))</f>
        <v>1441590.7627087389</v>
      </c>
    </row>
    <row r="53" spans="3:15" ht="15.75" customHeight="1">
      <c r="C53" s="89" t="s">
        <v>105</v>
      </c>
      <c r="D53" s="49"/>
      <c r="E53" s="49">
        <v>29707</v>
      </c>
      <c r="F53" s="49">
        <v>42776</v>
      </c>
      <c r="G53" s="91">
        <f>F53*(1+G39)</f>
        <v>49192.399999999994</v>
      </c>
      <c r="H53" s="91">
        <f>G53*(1+H39)</f>
        <v>55587.411999999989</v>
      </c>
      <c r="I53" s="91">
        <f>H53*(1+I39)</f>
        <v>62257.901439999994</v>
      </c>
      <c r="J53" s="91">
        <f>I53*(1+J39)</f>
        <v>69106.270598400006</v>
      </c>
      <c r="K53" s="91">
        <f>J53*(1+K39)</f>
        <v>76016.897658240006</v>
      </c>
    </row>
    <row r="54" spans="3:15" ht="15.75" customHeight="1">
      <c r="C54" s="89" t="s">
        <v>106</v>
      </c>
      <c r="D54" s="49"/>
      <c r="E54" s="49">
        <v>9960</v>
      </c>
      <c r="F54" s="49">
        <v>10182</v>
      </c>
      <c r="G54" s="91">
        <f>F54</f>
        <v>10182</v>
      </c>
      <c r="H54" s="91">
        <f>G54</f>
        <v>10182</v>
      </c>
      <c r="I54" s="91">
        <f>H54</f>
        <v>10182</v>
      </c>
      <c r="J54" s="91">
        <f>I54</f>
        <v>10182</v>
      </c>
      <c r="K54" s="91">
        <f>J54</f>
        <v>10182</v>
      </c>
    </row>
    <row r="55" spans="3:15" ht="15.75" customHeight="1">
      <c r="C55" s="93" t="s">
        <v>107</v>
      </c>
      <c r="D55" s="49"/>
      <c r="E55" s="98">
        <f t="shared" ref="E55:K55" si="8">SUM(E49:E54)</f>
        <v>2485134</v>
      </c>
      <c r="F55" s="98">
        <f t="shared" si="8"/>
        <v>2896459</v>
      </c>
      <c r="G55" s="98">
        <f t="shared" ca="1" si="8"/>
        <v>3577792.3262777082</v>
      </c>
      <c r="H55" s="98">
        <f t="shared" ca="1" si="8"/>
        <v>4351776.0083372463</v>
      </c>
      <c r="I55" s="98">
        <f t="shared" ca="1" si="8"/>
        <v>5249822.280111813</v>
      </c>
      <c r="J55" s="98">
        <f t="shared" ca="1" si="8"/>
        <v>6268859.202766113</v>
      </c>
      <c r="K55" s="98">
        <f t="shared" ca="1" si="8"/>
        <v>7404343.2849852387</v>
      </c>
    </row>
    <row r="56" spans="3:15" ht="15.75" customHeight="1">
      <c r="C56" t="s">
        <v>108</v>
      </c>
      <c r="D56" s="49"/>
      <c r="E56" s="49">
        <v>568607</v>
      </c>
      <c r="F56" s="49">
        <v>579971</v>
      </c>
      <c r="G56" s="91">
        <f>G125</f>
        <v>602971</v>
      </c>
      <c r="H56" s="91">
        <f>H125</f>
        <v>628961</v>
      </c>
      <c r="I56" s="91">
        <f>I125</f>
        <v>658069.80000000005</v>
      </c>
      <c r="J56" s="91">
        <f>J125</f>
        <v>690380.56800000009</v>
      </c>
      <c r="K56" s="91">
        <f>K125</f>
        <v>725922.41280000005</v>
      </c>
      <c r="O56" s="91"/>
    </row>
    <row r="57" spans="3:15" ht="15.75" customHeight="1">
      <c r="C57" s="95" t="s">
        <v>109</v>
      </c>
      <c r="D57" s="49"/>
      <c r="E57" s="49">
        <v>172206</v>
      </c>
      <c r="F57" s="49">
        <v>222151</v>
      </c>
      <c r="G57" s="91">
        <f>F57</f>
        <v>222151</v>
      </c>
      <c r="H57" s="91">
        <f>G57</f>
        <v>222151</v>
      </c>
      <c r="I57" s="91">
        <f>H57</f>
        <v>222151</v>
      </c>
      <c r="J57" s="91">
        <f>I57</f>
        <v>222151</v>
      </c>
      <c r="K57" s="91">
        <f>J57</f>
        <v>222151</v>
      </c>
      <c r="O57" s="91"/>
    </row>
    <row r="58" spans="3:15" ht="15.75" customHeight="1">
      <c r="C58" s="95" t="s">
        <v>110</v>
      </c>
      <c r="D58" s="49"/>
      <c r="E58" s="49">
        <v>1004701</v>
      </c>
      <c r="F58" s="49">
        <v>920432</v>
      </c>
      <c r="G58" s="91">
        <f>F58+-77930</f>
        <v>842502</v>
      </c>
      <c r="H58" s="91">
        <f>G58+-71335</f>
        <v>771167</v>
      </c>
      <c r="I58" s="91">
        <f>H58+-70335</f>
        <v>700832</v>
      </c>
      <c r="J58" s="91">
        <f>I58+-68296</f>
        <v>632536</v>
      </c>
      <c r="K58" s="91">
        <f>J58+-67631</f>
        <v>564905</v>
      </c>
      <c r="O58" s="91"/>
    </row>
    <row r="59" spans="3:15" ht="15.75" customHeight="1">
      <c r="C59" s="95" t="s">
        <v>112</v>
      </c>
      <c r="D59" s="49"/>
      <c r="E59" s="49">
        <v>291487</v>
      </c>
      <c r="F59" s="49">
        <v>244877</v>
      </c>
      <c r="G59" s="91">
        <f>F59+-43493</f>
        <v>201384</v>
      </c>
      <c r="H59" s="91">
        <f>G59+-39813</f>
        <v>161571</v>
      </c>
      <c r="I59" s="91">
        <f>H59+-39254</f>
        <v>122317</v>
      </c>
      <c r="J59" s="91">
        <f>I59+-38116</f>
        <v>84201</v>
      </c>
      <c r="K59" s="91">
        <f>J59+-37745</f>
        <v>46456</v>
      </c>
    </row>
    <row r="60" spans="3:15" ht="15.75" customHeight="1">
      <c r="C60" s="95" t="s">
        <v>114</v>
      </c>
      <c r="D60" s="49"/>
      <c r="E60" s="49">
        <v>1685970</v>
      </c>
      <c r="F60" s="49">
        <v>1684255</v>
      </c>
      <c r="G60" s="91">
        <f t="shared" ref="G60:K61" si="9">F60</f>
        <v>1684255</v>
      </c>
      <c r="H60" s="91">
        <f t="shared" si="9"/>
        <v>1684255</v>
      </c>
      <c r="I60" s="91">
        <f t="shared" si="9"/>
        <v>1684255</v>
      </c>
      <c r="J60" s="91">
        <f t="shared" si="9"/>
        <v>1684255</v>
      </c>
      <c r="K60" s="91">
        <f t="shared" si="9"/>
        <v>1684255</v>
      </c>
    </row>
    <row r="61" spans="3:15" ht="15.75" customHeight="1">
      <c r="C61" s="95" t="s">
        <v>116</v>
      </c>
      <c r="D61" s="49"/>
      <c r="E61" s="49">
        <v>1079</v>
      </c>
      <c r="F61" s="49">
        <v>2832</v>
      </c>
      <c r="G61" s="91">
        <f t="shared" si="9"/>
        <v>2832</v>
      </c>
      <c r="H61" s="91">
        <f t="shared" si="9"/>
        <v>2832</v>
      </c>
      <c r="I61" s="91">
        <f t="shared" si="9"/>
        <v>2832</v>
      </c>
      <c r="J61" s="91">
        <f t="shared" si="9"/>
        <v>2832</v>
      </c>
      <c r="K61" s="91">
        <f t="shared" si="9"/>
        <v>2832</v>
      </c>
    </row>
    <row r="62" spans="3:15" ht="15.75" customHeight="1">
      <c r="C62" t="s">
        <v>117</v>
      </c>
      <c r="D62" s="49"/>
      <c r="E62" s="49">
        <v>4417</v>
      </c>
      <c r="F62" s="49">
        <v>6434</v>
      </c>
      <c r="G62" s="91">
        <f>F62*(1+G39)</f>
        <v>7399.0999999999995</v>
      </c>
      <c r="H62" s="91">
        <f>G62*(1+H39)</f>
        <v>8360.9829999999984</v>
      </c>
      <c r="I62" s="91">
        <f>H62*(1+I39)</f>
        <v>9364.3009599999987</v>
      </c>
      <c r="J62" s="91">
        <f>I62*(1+J39)</f>
        <v>10394.374065599999</v>
      </c>
      <c r="K62" s="91">
        <f>J62*(1+K39)</f>
        <v>11433.81147216</v>
      </c>
    </row>
    <row r="63" spans="3:15" ht="15.75" customHeight="1">
      <c r="C63" s="97" t="s">
        <v>118</v>
      </c>
      <c r="D63" s="98"/>
      <c r="E63" s="98">
        <f t="shared" ref="E63:K63" si="10">SUM(E55:E62)</f>
        <v>6213601</v>
      </c>
      <c r="F63" s="98">
        <f t="shared" si="10"/>
        <v>6557411</v>
      </c>
      <c r="G63" s="98">
        <f t="shared" ca="1" si="10"/>
        <v>7141286.4262777083</v>
      </c>
      <c r="H63" s="98">
        <f t="shared" ca="1" si="10"/>
        <v>7831073.9913372463</v>
      </c>
      <c r="I63" s="98">
        <f t="shared" ca="1" si="10"/>
        <v>8649643.3810718134</v>
      </c>
      <c r="J63" s="98">
        <f t="shared" ca="1" si="10"/>
        <v>9595609.1448317133</v>
      </c>
      <c r="K63" s="98">
        <f t="shared" ca="1" si="10"/>
        <v>10662298.5092574</v>
      </c>
    </row>
    <row r="64" spans="3:15" ht="15.75" customHeight="1">
      <c r="C64" s="74" t="s">
        <v>119</v>
      </c>
      <c r="D64" s="91"/>
      <c r="G64" s="91"/>
      <c r="H64" s="91"/>
      <c r="I64" s="91"/>
      <c r="J64" s="91"/>
      <c r="K64" s="91"/>
    </row>
    <row r="65" spans="3:11" ht="15.75" customHeight="1">
      <c r="C65" s="74" t="s">
        <v>120</v>
      </c>
      <c r="D65" s="91"/>
      <c r="G65" s="91"/>
      <c r="H65" s="91"/>
      <c r="I65" s="91"/>
      <c r="J65" s="91"/>
      <c r="K65" s="91"/>
    </row>
    <row r="66" spans="3:11" ht="15.75" customHeight="1">
      <c r="C66" s="89" t="s">
        <v>121</v>
      </c>
      <c r="D66" s="49"/>
      <c r="E66" s="49">
        <v>645701</v>
      </c>
      <c r="F66" s="49">
        <v>679772</v>
      </c>
      <c r="G66" s="91">
        <f>F66*(1+(G18-F18)/F18)</f>
        <v>778097.9596902082</v>
      </c>
      <c r="H66" s="91">
        <f>G66*(1+(H18-G18)/G18)</f>
        <v>876140.13774787169</v>
      </c>
      <c r="I66" s="91">
        <f>H66*(1+(I18-H18)/H18)</f>
        <v>975470.58176709816</v>
      </c>
      <c r="J66" s="91">
        <f>I66*(1+(J18-I18)/I18)</f>
        <v>1078905.3016694735</v>
      </c>
      <c r="K66" s="91">
        <f>J66*(1+(K18-J18)/J18)</f>
        <v>1183959.9995022838</v>
      </c>
    </row>
    <row r="67" spans="3:11" ht="15.75" customHeight="1">
      <c r="C67" s="89" t="s">
        <v>122</v>
      </c>
      <c r="D67" s="49"/>
      <c r="E67" s="49">
        <v>99572</v>
      </c>
      <c r="F67" s="49">
        <v>91499</v>
      </c>
      <c r="G67" s="91">
        <f>F67*(1+G39)</f>
        <v>105223.84999999999</v>
      </c>
      <c r="H67" s="91">
        <f>G67*(1+H39)</f>
        <v>118902.95049999998</v>
      </c>
      <c r="I67" s="91">
        <f>H67*(1+I39)</f>
        <v>133171.30455999999</v>
      </c>
      <c r="J67" s="91">
        <f>I67*(1+J39)</f>
        <v>147820.14806159999</v>
      </c>
      <c r="K67" s="91">
        <f>J67*(1+K39)</f>
        <v>162602.16286775999</v>
      </c>
    </row>
    <row r="68" spans="3:11" ht="15.75" customHeight="1">
      <c r="C68" s="89" t="s">
        <v>123</v>
      </c>
      <c r="D68" s="49"/>
      <c r="E68" s="49">
        <v>79134</v>
      </c>
      <c r="F68" s="49">
        <v>74008</v>
      </c>
      <c r="G68" s="91">
        <f>F68*(1+G39)</f>
        <v>85109.2</v>
      </c>
      <c r="H68" s="91">
        <f>G68*(1+H39)</f>
        <v>96173.395999999993</v>
      </c>
      <c r="I68" s="91">
        <f>H68*(1+I39)</f>
        <v>107714.20352000001</v>
      </c>
      <c r="J68" s="91">
        <f>I68*(1+J39)</f>
        <v>119562.76590720002</v>
      </c>
      <c r="K68" s="91">
        <f>J68*(1+K39)</f>
        <v>131519.04249792005</v>
      </c>
    </row>
    <row r="69" spans="3:11" ht="15.75" customHeight="1">
      <c r="C69" s="89" t="s">
        <v>124</v>
      </c>
      <c r="D69" s="49"/>
      <c r="E69" s="49">
        <v>17663</v>
      </c>
      <c r="F69" s="49">
        <v>22308</v>
      </c>
      <c r="G69" s="91">
        <f t="shared" ref="G69:K70" si="11">F69</f>
        <v>22308</v>
      </c>
      <c r="H69" s="91">
        <f t="shared" si="11"/>
        <v>22308</v>
      </c>
      <c r="I69" s="91">
        <f t="shared" si="11"/>
        <v>22308</v>
      </c>
      <c r="J69" s="91">
        <f t="shared" si="11"/>
        <v>22308</v>
      </c>
      <c r="K69" s="91">
        <f t="shared" si="11"/>
        <v>22308</v>
      </c>
    </row>
    <row r="70" spans="3:11" ht="15.75" customHeight="1">
      <c r="C70" s="89" t="s">
        <v>125</v>
      </c>
      <c r="D70" s="49"/>
      <c r="E70" s="49">
        <v>1345</v>
      </c>
      <c r="F70" s="49">
        <v>438</v>
      </c>
      <c r="G70" s="91">
        <f t="shared" si="11"/>
        <v>438</v>
      </c>
      <c r="H70" s="91">
        <f t="shared" si="11"/>
        <v>438</v>
      </c>
      <c r="I70" s="91">
        <f t="shared" si="11"/>
        <v>438</v>
      </c>
      <c r="J70" s="91">
        <f t="shared" si="11"/>
        <v>438</v>
      </c>
      <c r="K70" s="91">
        <f t="shared" si="11"/>
        <v>438</v>
      </c>
    </row>
    <row r="71" spans="3:11" ht="15.75" customHeight="1">
      <c r="C71" s="89" t="s">
        <v>126</v>
      </c>
      <c r="D71" s="49"/>
      <c r="E71" s="49">
        <v>400025</v>
      </c>
      <c r="F71" s="49">
        <v>411321</v>
      </c>
      <c r="G71" s="91">
        <f>F71*(1+G39)</f>
        <v>473019.14999999997</v>
      </c>
      <c r="H71" s="91">
        <f>G71*(1+H39)</f>
        <v>534511.63949999993</v>
      </c>
      <c r="I71" s="91">
        <f>H71*(1+I39)</f>
        <v>598653.03623999993</v>
      </c>
      <c r="J71" s="91">
        <f>I71*(1+J39)</f>
        <v>664504.87022639997</v>
      </c>
      <c r="K71" s="91">
        <f>J71*(1+K39)</f>
        <v>730955.35724904004</v>
      </c>
    </row>
    <row r="72" spans="3:11" ht="15.75" customHeight="1">
      <c r="C72" s="89" t="s">
        <v>127</v>
      </c>
      <c r="D72" s="49"/>
      <c r="E72" s="49">
        <v>6655</v>
      </c>
      <c r="F72" s="49">
        <v>13547</v>
      </c>
      <c r="G72" s="91">
        <f t="shared" ref="G72:K73" si="12">F72</f>
        <v>13547</v>
      </c>
      <c r="H72" s="91">
        <f t="shared" si="12"/>
        <v>13547</v>
      </c>
      <c r="I72" s="91">
        <f t="shared" si="12"/>
        <v>13547</v>
      </c>
      <c r="J72" s="91">
        <f t="shared" si="12"/>
        <v>13547</v>
      </c>
      <c r="K72" s="91">
        <f t="shared" si="12"/>
        <v>13547</v>
      </c>
    </row>
    <row r="73" spans="3:11" ht="15.75" customHeight="1">
      <c r="C73" s="89" t="s">
        <v>128</v>
      </c>
      <c r="D73" s="49"/>
      <c r="E73" s="49">
        <v>23449</v>
      </c>
      <c r="F73" s="49">
        <v>23444</v>
      </c>
      <c r="G73" s="91">
        <f t="shared" si="12"/>
        <v>23444</v>
      </c>
      <c r="H73" s="91">
        <f t="shared" si="12"/>
        <v>23444</v>
      </c>
      <c r="I73" s="91">
        <f t="shared" si="12"/>
        <v>23444</v>
      </c>
      <c r="J73" s="91">
        <f t="shared" si="12"/>
        <v>23444</v>
      </c>
      <c r="K73" s="91">
        <f t="shared" si="12"/>
        <v>23444</v>
      </c>
    </row>
    <row r="74" spans="3:11" ht="15.75" customHeight="1">
      <c r="C74" s="93" t="s">
        <v>130</v>
      </c>
      <c r="D74" s="49"/>
      <c r="E74" s="98">
        <f t="shared" ref="E74:K74" si="13">SUM(E66:E73)</f>
        <v>1273544</v>
      </c>
      <c r="F74" s="98">
        <f t="shared" si="13"/>
        <v>1316337</v>
      </c>
      <c r="G74" s="98">
        <f t="shared" si="13"/>
        <v>1501187.159690208</v>
      </c>
      <c r="H74" s="98">
        <f t="shared" si="13"/>
        <v>1685465.1237478717</v>
      </c>
      <c r="I74" s="98">
        <f t="shared" si="13"/>
        <v>1874746.1260870979</v>
      </c>
      <c r="J74" s="98">
        <f t="shared" si="13"/>
        <v>2070530.0858646736</v>
      </c>
      <c r="K74" s="98">
        <f t="shared" si="13"/>
        <v>2268773.5621170038</v>
      </c>
    </row>
    <row r="75" spans="3:11" ht="16.5" customHeight="1">
      <c r="C75" s="95" t="s">
        <v>131</v>
      </c>
      <c r="D75" s="49"/>
      <c r="E75" s="49">
        <v>2207977</v>
      </c>
      <c r="F75" s="49">
        <v>2191161</v>
      </c>
      <c r="G75" s="91">
        <f ca="1">F75-F73+G155</f>
        <v>2167717</v>
      </c>
      <c r="H75" s="91">
        <f ca="1">G75-G73+H155-G155</f>
        <v>2144273</v>
      </c>
      <c r="I75" s="91">
        <f ca="1">H75-H73+I155-H155</f>
        <v>2120829</v>
      </c>
      <c r="J75" s="91">
        <f ca="1">I75-I73+J155-I155</f>
        <v>2097385</v>
      </c>
      <c r="K75" s="91">
        <f ca="1">J75-J73+K155-J155</f>
        <v>2073941</v>
      </c>
    </row>
    <row r="76" spans="3:11" ht="15.75" customHeight="1">
      <c r="C76" s="95" t="s">
        <v>133</v>
      </c>
      <c r="D76" s="49"/>
      <c r="E76" s="49">
        <v>164224</v>
      </c>
      <c r="F76" s="49">
        <v>212365</v>
      </c>
      <c r="G76" s="91">
        <f t="shared" ref="G76:K78" si="14">F76</f>
        <v>212365</v>
      </c>
      <c r="H76" s="91">
        <f t="shared" si="14"/>
        <v>212365</v>
      </c>
      <c r="I76" s="91">
        <f t="shared" si="14"/>
        <v>212365</v>
      </c>
      <c r="J76" s="91">
        <f t="shared" si="14"/>
        <v>212365</v>
      </c>
      <c r="K76" s="91">
        <f t="shared" si="14"/>
        <v>212365</v>
      </c>
    </row>
    <row r="77" spans="3:11" ht="15.75" customHeight="1">
      <c r="C77" s="95" t="s">
        <v>134</v>
      </c>
      <c r="D77" s="49"/>
      <c r="E77" s="49">
        <v>169824</v>
      </c>
      <c r="F77" s="49">
        <v>157206</v>
      </c>
      <c r="G77" s="91">
        <f t="shared" si="14"/>
        <v>157206</v>
      </c>
      <c r="H77" s="91">
        <f t="shared" si="14"/>
        <v>157206</v>
      </c>
      <c r="I77" s="91">
        <f t="shared" si="14"/>
        <v>157206</v>
      </c>
      <c r="J77" s="91">
        <f t="shared" si="14"/>
        <v>157206</v>
      </c>
      <c r="K77" s="91">
        <f t="shared" si="14"/>
        <v>157206</v>
      </c>
    </row>
    <row r="78" spans="3:11" ht="15.75" customHeight="1">
      <c r="C78" s="95" t="s">
        <v>135</v>
      </c>
      <c r="D78" s="49"/>
      <c r="E78" s="49">
        <v>0</v>
      </c>
      <c r="F78" s="49">
        <v>5770</v>
      </c>
      <c r="G78" s="91">
        <f t="shared" si="14"/>
        <v>5770</v>
      </c>
      <c r="H78" s="91">
        <f t="shared" si="14"/>
        <v>5770</v>
      </c>
      <c r="I78" s="91">
        <f t="shared" si="14"/>
        <v>5770</v>
      </c>
      <c r="J78" s="91">
        <f t="shared" si="14"/>
        <v>5770</v>
      </c>
      <c r="K78" s="91">
        <f t="shared" si="14"/>
        <v>5770</v>
      </c>
    </row>
    <row r="79" spans="3:11" ht="15.75" customHeight="1">
      <c r="C79" s="95" t="s">
        <v>136</v>
      </c>
      <c r="D79" s="49"/>
      <c r="E79" s="49">
        <v>24628</v>
      </c>
      <c r="F79" s="49">
        <v>7261</v>
      </c>
      <c r="G79" s="91">
        <f>F79*(1+G39)</f>
        <v>8350.15</v>
      </c>
      <c r="H79" s="91">
        <f>G79*(1+H39)</f>
        <v>9435.6694999999982</v>
      </c>
      <c r="I79" s="91">
        <f>H79*(1+I39)</f>
        <v>10567.949839999999</v>
      </c>
      <c r="J79" s="91">
        <f>I79*(1+J39)</f>
        <v>11730.4243224</v>
      </c>
      <c r="K79" s="91">
        <f>J79*(1+K39)</f>
        <v>12903.466754640001</v>
      </c>
    </row>
    <row r="80" spans="3:11" ht="15.75" customHeight="1">
      <c r="C80" s="97" t="s">
        <v>137</v>
      </c>
      <c r="D80" s="98"/>
      <c r="E80" s="98">
        <f t="shared" ref="E80:K80" si="15">SUM(E74:E79)</f>
        <v>3840197</v>
      </c>
      <c r="F80" s="98">
        <f t="shared" si="15"/>
        <v>3890100</v>
      </c>
      <c r="G80" s="98">
        <f t="shared" ca="1" si="15"/>
        <v>4052595.3096902077</v>
      </c>
      <c r="H80" s="98">
        <f t="shared" ca="1" si="15"/>
        <v>4214514.793247872</v>
      </c>
      <c r="I80" s="98">
        <f t="shared" ca="1" si="15"/>
        <v>4381484.0759270974</v>
      </c>
      <c r="J80" s="98">
        <f t="shared" ca="1" si="15"/>
        <v>4554986.5101870736</v>
      </c>
      <c r="K80" s="98">
        <f t="shared" ca="1" si="15"/>
        <v>4730959.0288716443</v>
      </c>
    </row>
    <row r="81" spans="2:11" ht="15.75" customHeight="1">
      <c r="C81" s="97" t="s">
        <v>337</v>
      </c>
      <c r="D81" s="98"/>
      <c r="E81" s="49">
        <v>0</v>
      </c>
      <c r="F81" s="49">
        <v>0</v>
      </c>
      <c r="G81" s="102">
        <v>0</v>
      </c>
      <c r="H81" s="102">
        <v>0</v>
      </c>
      <c r="I81" s="102">
        <v>0</v>
      </c>
      <c r="J81" s="102">
        <v>0</v>
      </c>
      <c r="K81" s="102">
        <v>0</v>
      </c>
    </row>
    <row r="82" spans="2:11" ht="16.5" customHeight="1">
      <c r="C82" s="97" t="s">
        <v>139</v>
      </c>
      <c r="D82" s="98"/>
      <c r="E82" s="98"/>
      <c r="F82" s="98"/>
      <c r="G82" s="91"/>
      <c r="H82" s="91"/>
      <c r="I82" s="91"/>
      <c r="J82" s="91"/>
      <c r="K82" s="91"/>
    </row>
    <row r="83" spans="2:11" ht="15.75" customHeight="1">
      <c r="C83" s="89" t="s">
        <v>140</v>
      </c>
      <c r="D83" s="49"/>
      <c r="E83" s="49">
        <v>3345</v>
      </c>
      <c r="F83" s="49">
        <v>3345</v>
      </c>
      <c r="G83" s="91">
        <f>F83</f>
        <v>3345</v>
      </c>
      <c r="H83" s="91">
        <f>G83</f>
        <v>3345</v>
      </c>
      <c r="I83" s="91">
        <f>H83</f>
        <v>3345</v>
      </c>
      <c r="J83" s="91">
        <f>I83</f>
        <v>3345</v>
      </c>
      <c r="K83" s="91">
        <f>J83</f>
        <v>3345</v>
      </c>
    </row>
    <row r="84" spans="2:11" ht="15.75" customHeight="1">
      <c r="C84" s="89" t="s">
        <v>141</v>
      </c>
      <c r="D84" s="49"/>
      <c r="E84" s="49">
        <v>0</v>
      </c>
      <c r="F84" s="49">
        <v>0</v>
      </c>
      <c r="G84" s="91">
        <v>0</v>
      </c>
      <c r="H84" s="91">
        <v>0</v>
      </c>
      <c r="I84" s="91">
        <v>0</v>
      </c>
      <c r="J84" s="91">
        <v>0</v>
      </c>
      <c r="K84" s="91">
        <v>0</v>
      </c>
    </row>
    <row r="85" spans="2:11" ht="15.75" customHeight="1">
      <c r="C85" s="89" t="s">
        <v>379</v>
      </c>
      <c r="D85" s="49"/>
      <c r="E85" s="49">
        <v>3944802</v>
      </c>
      <c r="F85" s="49">
        <v>3958039</v>
      </c>
      <c r="G85" s="91">
        <f>F85+G35</f>
        <v>3971539</v>
      </c>
      <c r="H85" s="91">
        <f>G85+H35</f>
        <v>3985539</v>
      </c>
      <c r="I85" s="91">
        <f>H85+I35</f>
        <v>4000039</v>
      </c>
      <c r="J85" s="91">
        <f>I85+J35</f>
        <v>4015039</v>
      </c>
      <c r="K85" s="91">
        <f>J85+K35</f>
        <v>4030539</v>
      </c>
    </row>
    <row r="86" spans="2:11" ht="15.75" customHeight="1">
      <c r="C86" s="89" t="s">
        <v>143</v>
      </c>
      <c r="D86" s="49"/>
      <c r="E86" s="49">
        <v>-1563321</v>
      </c>
      <c r="F86" s="49">
        <v>-1285904</v>
      </c>
      <c r="G86" s="91">
        <f ca="1">F86+G31</f>
        <v>-878023.88341250003</v>
      </c>
      <c r="H86" s="91">
        <f ca="1">G86+H31</f>
        <v>-364155.80191062519</v>
      </c>
      <c r="I86" s="91">
        <f ca="1">H86+I31</f>
        <v>272944.30514471477</v>
      </c>
      <c r="J86" s="91">
        <f ca="1">I86+J31</f>
        <v>1030407.6346446398</v>
      </c>
      <c r="K86" s="91">
        <f ca="1">J86+K31</f>
        <v>1905624.4803857557</v>
      </c>
    </row>
    <row r="87" spans="2:11" ht="15.75" customHeight="1">
      <c r="C87" s="89" t="s">
        <v>144</v>
      </c>
      <c r="D87" s="101"/>
      <c r="E87" s="49">
        <v>-11422</v>
      </c>
      <c r="F87" s="49">
        <v>-8169</v>
      </c>
      <c r="G87" s="91">
        <f>F87</f>
        <v>-8169</v>
      </c>
      <c r="H87" s="91">
        <f>G87</f>
        <v>-8169</v>
      </c>
      <c r="I87" s="91">
        <f>H87</f>
        <v>-8169</v>
      </c>
      <c r="J87" s="91">
        <f>I87</f>
        <v>-8169</v>
      </c>
      <c r="K87" s="91">
        <f>J87</f>
        <v>-8169</v>
      </c>
    </row>
    <row r="88" spans="2:11" ht="15.75" customHeight="1">
      <c r="C88" s="89" t="s">
        <v>145</v>
      </c>
      <c r="D88" s="49"/>
      <c r="E88" s="49">
        <v>0</v>
      </c>
      <c r="F88" s="49">
        <v>0</v>
      </c>
      <c r="G88" s="91">
        <v>0</v>
      </c>
      <c r="H88" s="91">
        <v>0</v>
      </c>
      <c r="I88" s="91">
        <v>0</v>
      </c>
      <c r="J88" s="91">
        <v>0</v>
      </c>
      <c r="K88" s="91">
        <v>0</v>
      </c>
    </row>
    <row r="89" spans="2:11" ht="15.75" customHeight="1">
      <c r="C89" s="93" t="s">
        <v>146</v>
      </c>
      <c r="D89" s="102"/>
      <c r="E89" s="102">
        <f t="shared" ref="E89:K89" si="16">SUM(E83:E88)</f>
        <v>2373404</v>
      </c>
      <c r="F89" s="102">
        <f t="shared" si="16"/>
        <v>2667311</v>
      </c>
      <c r="G89" s="102">
        <f t="shared" ca="1" si="16"/>
        <v>3088691.1165875001</v>
      </c>
      <c r="H89" s="102">
        <f t="shared" ca="1" si="16"/>
        <v>3616559.1980893747</v>
      </c>
      <c r="I89" s="102">
        <f t="shared" ca="1" si="16"/>
        <v>4268159.3051447151</v>
      </c>
      <c r="J89" s="102">
        <f t="shared" ca="1" si="16"/>
        <v>5040622.6346446397</v>
      </c>
      <c r="K89" s="102">
        <f t="shared" ca="1" si="16"/>
        <v>5931339.4803857561</v>
      </c>
    </row>
    <row r="90" spans="2:11" ht="15.75" customHeight="1">
      <c r="C90" s="97" t="s">
        <v>147</v>
      </c>
      <c r="D90" s="91"/>
      <c r="E90" s="91">
        <f t="shared" ref="E90:K90" si="17">SUM(E89,E80)</f>
        <v>6213601</v>
      </c>
      <c r="F90" s="91">
        <f t="shared" si="17"/>
        <v>6557411</v>
      </c>
      <c r="G90" s="91">
        <f t="shared" ca="1" si="17"/>
        <v>7141286.4262777083</v>
      </c>
      <c r="H90" s="91">
        <f t="shared" ca="1" si="17"/>
        <v>7831073.9913372472</v>
      </c>
      <c r="I90" s="91">
        <f t="shared" ca="1" si="17"/>
        <v>8649643.3810718134</v>
      </c>
      <c r="J90" s="91">
        <f t="shared" ca="1" si="17"/>
        <v>9595609.1448317133</v>
      </c>
      <c r="K90" s="91">
        <f t="shared" ca="1" si="17"/>
        <v>10662298.5092574</v>
      </c>
    </row>
    <row r="91" spans="2:11" ht="15.75" customHeight="1">
      <c r="C91" s="97"/>
      <c r="D91" s="91"/>
      <c r="E91" s="91"/>
      <c r="F91" s="91"/>
    </row>
    <row r="92" spans="2:11" ht="15.75" customHeight="1">
      <c r="C92" s="60" t="s">
        <v>148</v>
      </c>
      <c r="D92" s="103"/>
      <c r="E92" s="103">
        <f t="shared" ref="E92:K92" si="18">E63-E90</f>
        <v>0</v>
      </c>
      <c r="F92" s="103">
        <f t="shared" si="18"/>
        <v>0</v>
      </c>
      <c r="G92" s="103">
        <f t="shared" ca="1" si="18"/>
        <v>0</v>
      </c>
      <c r="H92" s="103">
        <f t="shared" ca="1" si="18"/>
        <v>0</v>
      </c>
      <c r="I92" s="103">
        <f t="shared" ca="1" si="18"/>
        <v>0</v>
      </c>
      <c r="J92" s="103">
        <f t="shared" ca="1" si="18"/>
        <v>0</v>
      </c>
      <c r="K92" s="103">
        <f t="shared" ca="1" si="18"/>
        <v>0</v>
      </c>
    </row>
    <row r="93" spans="2:11" ht="15.75" customHeight="1">
      <c r="E93" s="91"/>
      <c r="F93" s="91"/>
      <c r="H93" s="91"/>
      <c r="I93" s="91"/>
      <c r="J93" s="91"/>
      <c r="K93" s="91"/>
    </row>
    <row r="94" spans="2:11" ht="15.75" customHeight="1">
      <c r="B94" t="s">
        <v>0</v>
      </c>
      <c r="C94" s="57" t="s">
        <v>149</v>
      </c>
      <c r="D94" s="31"/>
      <c r="E94" s="31"/>
      <c r="F94" s="31"/>
      <c r="G94" s="31"/>
      <c r="H94" s="31"/>
      <c r="I94" s="31"/>
      <c r="J94" s="31"/>
      <c r="K94" s="31"/>
    </row>
    <row r="95" spans="2:11" ht="15.75" customHeight="1">
      <c r="C95" s="79" t="str">
        <f>C14</f>
        <v xml:space="preserve">Fiscal year  </v>
      </c>
      <c r="D95" s="81"/>
      <c r="E95" s="81"/>
      <c r="F95" s="81"/>
      <c r="G95" s="83">
        <f t="shared" ref="G95:K96" si="19">G14</f>
        <v>2026</v>
      </c>
      <c r="H95" s="83">
        <f t="shared" si="19"/>
        <v>2027</v>
      </c>
      <c r="I95" s="83">
        <f t="shared" si="19"/>
        <v>2028</v>
      </c>
      <c r="J95" s="83">
        <f t="shared" si="19"/>
        <v>2029</v>
      </c>
      <c r="K95" s="83">
        <f t="shared" si="19"/>
        <v>2030</v>
      </c>
    </row>
    <row r="96" spans="2:11" ht="15.75" customHeight="1">
      <c r="C96" s="6" t="str">
        <f>C15</f>
        <v>Fiscal year end date</v>
      </c>
      <c r="D96" s="85"/>
      <c r="E96" s="85"/>
      <c r="F96" s="85"/>
      <c r="G96" s="85">
        <f t="shared" si="19"/>
        <v>46387</v>
      </c>
      <c r="H96" s="85">
        <f t="shared" si="19"/>
        <v>46752</v>
      </c>
      <c r="I96" s="85">
        <f t="shared" si="19"/>
        <v>47118</v>
      </c>
      <c r="J96" s="85">
        <f t="shared" si="19"/>
        <v>47483</v>
      </c>
      <c r="K96" s="85">
        <f t="shared" si="19"/>
        <v>47848</v>
      </c>
    </row>
    <row r="98" spans="3:13" ht="15.75" customHeight="1">
      <c r="C98" t="s">
        <v>81</v>
      </c>
      <c r="D98" s="104"/>
      <c r="E98" s="104"/>
      <c r="F98" s="104"/>
      <c r="G98" s="91">
        <f ca="1">G31</f>
        <v>407880.11658749997</v>
      </c>
      <c r="H98" s="91">
        <f ca="1">H31</f>
        <v>513868.08150187484</v>
      </c>
      <c r="I98" s="91">
        <f ca="1">I31</f>
        <v>637100.10705533996</v>
      </c>
      <c r="J98" s="91">
        <f ca="1">J31</f>
        <v>757463.32949992502</v>
      </c>
      <c r="K98" s="91">
        <f ca="1">K31</f>
        <v>875216.84574111574</v>
      </c>
      <c r="M98" s="72"/>
    </row>
    <row r="99" spans="3:13" ht="15.75" customHeight="1">
      <c r="C99" t="s">
        <v>150</v>
      </c>
      <c r="D99" s="104"/>
      <c r="E99" s="104"/>
      <c r="F99" s="104"/>
      <c r="G99" s="91">
        <f>G33</f>
        <v>193183</v>
      </c>
      <c r="H99" s="91">
        <f>H33</f>
        <v>192236.79999999999</v>
      </c>
      <c r="I99" s="91">
        <f>I33</f>
        <v>200408.45600000001</v>
      </c>
      <c r="J99" s="91">
        <f>J33</f>
        <v>207221.59616000002</v>
      </c>
      <c r="K99" s="91">
        <f>K33</f>
        <v>216266.55577600002</v>
      </c>
    </row>
    <row r="100" spans="3:13" ht="15.75" customHeight="1">
      <c r="C100" t="s">
        <v>85</v>
      </c>
      <c r="D100" s="104"/>
      <c r="E100" s="104"/>
      <c r="F100" s="104"/>
      <c r="G100" s="91">
        <f>G35</f>
        <v>13500</v>
      </c>
      <c r="H100" s="91">
        <f>H35</f>
        <v>14000</v>
      </c>
      <c r="I100" s="91">
        <f>I35</f>
        <v>14500</v>
      </c>
      <c r="J100" s="91">
        <f>J35</f>
        <v>15000</v>
      </c>
      <c r="K100" s="91">
        <f>K35</f>
        <v>15500</v>
      </c>
    </row>
    <row r="101" spans="3:13" ht="15.75" customHeight="1">
      <c r="C101" t="s">
        <v>152</v>
      </c>
      <c r="D101" s="91"/>
      <c r="E101" s="91"/>
      <c r="F101" s="91"/>
      <c r="G101" s="91">
        <f>F50+F51+F52+F53-G50-G51-G52-G53</f>
        <v>-385052.1271575588</v>
      </c>
      <c r="H101" s="91">
        <f>G50+G51+G52+G53-H50-H51-H52-H53</f>
        <v>-383822.15988594899</v>
      </c>
      <c r="I101" s="91">
        <f>H50+H51+H52+H53-I50-I51-I52-I53</f>
        <v>-396782.27004209306</v>
      </c>
      <c r="J101" s="91">
        <f>I50+I51+I52+I53-J50-J51-J52-J53</f>
        <v>-409135.30490693299</v>
      </c>
      <c r="K101" s="91">
        <f>J50+J51+J52+J53-K50-K51-K52-K53</f>
        <v>-413682.27419276576</v>
      </c>
    </row>
    <row r="102" spans="3:13" ht="15.75" customHeight="1">
      <c r="C102" t="s">
        <v>153</v>
      </c>
      <c r="D102" s="91"/>
      <c r="E102" s="91"/>
      <c r="F102" s="91"/>
      <c r="G102" s="91">
        <f>G66+G67+G68+G71-F66-F67-F68-F71</f>
        <v>184850.15969020803</v>
      </c>
      <c r="H102" s="91">
        <f>H66+H67+H68+H71-G66-G67-G68-G71</f>
        <v>184277.96405766363</v>
      </c>
      <c r="I102" s="91">
        <f>I66+I67+I68+I71-H66-H67-H68-H71</f>
        <v>189281.00233922631</v>
      </c>
      <c r="J102" s="91">
        <f>J66+J67+J68+J71-I66-I67-I68-I71</f>
        <v>195783.95977757557</v>
      </c>
      <c r="K102" s="91">
        <f>K66+K67+K68+K71-J66-J67-J68-J71</f>
        <v>198243.47625233023</v>
      </c>
    </row>
    <row r="103" spans="3:13" ht="15.75" customHeight="1">
      <c r="C103" t="s">
        <v>117</v>
      </c>
      <c r="G103" s="91">
        <f>-G62+F62</f>
        <v>-965.09999999999945</v>
      </c>
      <c r="H103" s="91">
        <f>-H62+G62</f>
        <v>-961.8829999999989</v>
      </c>
      <c r="I103" s="91">
        <f>-I62+H62</f>
        <v>-1003.3179600000003</v>
      </c>
      <c r="J103" s="91">
        <f>-J62+I62</f>
        <v>-1030.0731056000004</v>
      </c>
      <c r="K103" s="91">
        <f>-K62+J62</f>
        <v>-1039.4374065600005</v>
      </c>
    </row>
    <row r="104" spans="3:13" ht="15.75" customHeight="1">
      <c r="C104" t="s">
        <v>136</v>
      </c>
      <c r="G104" s="91">
        <f>G79-F79</f>
        <v>1089.1499999999996</v>
      </c>
      <c r="H104" s="91">
        <f>H79-G79</f>
        <v>1085.5194999999985</v>
      </c>
      <c r="I104" s="91">
        <f>I79-H79</f>
        <v>1132.2803400000012</v>
      </c>
      <c r="J104" s="91">
        <f>J79-I79</f>
        <v>1162.4744824000009</v>
      </c>
      <c r="K104" s="91">
        <f>K79-J79</f>
        <v>1173.0424322400013</v>
      </c>
      <c r="M104" s="72"/>
    </row>
    <row r="105" spans="3:13" ht="15.75" customHeight="1">
      <c r="C105" s="72" t="s">
        <v>154</v>
      </c>
      <c r="G105" s="102">
        <f ca="1">SUM(G98:G104)</f>
        <v>414485.19912014925</v>
      </c>
      <c r="H105" s="102">
        <f ca="1">SUM(H98:H104)</f>
        <v>520684.32217358955</v>
      </c>
      <c r="I105" s="102">
        <f ca="1">SUM(I98:I104)</f>
        <v>644636.2577324732</v>
      </c>
      <c r="J105" s="102">
        <f ca="1">SUM(J98:J104)</f>
        <v>766465.98190736759</v>
      </c>
      <c r="K105" s="102">
        <f ca="1">SUM(K98:K104)</f>
        <v>891678.2086023601</v>
      </c>
    </row>
    <row r="106" spans="3:13" ht="15.75" customHeight="1">
      <c r="G106" s="91"/>
      <c r="H106" s="91"/>
      <c r="I106" s="91"/>
      <c r="J106" s="91"/>
      <c r="K106" s="91"/>
    </row>
    <row r="107" spans="3:13" ht="15.75" customHeight="1">
      <c r="C107" t="s">
        <v>157</v>
      </c>
      <c r="G107" s="91">
        <f>-G123</f>
        <v>-94759.999999999985</v>
      </c>
      <c r="H107" s="91">
        <f>-H123</f>
        <v>-107078.79999999997</v>
      </c>
      <c r="I107" s="91">
        <f>-I123</f>
        <v>-119928.25599999999</v>
      </c>
      <c r="J107" s="91">
        <f>-J123</f>
        <v>-133120.36416</v>
      </c>
      <c r="K107" s="91">
        <f>-K123</f>
        <v>-146432.40057600001</v>
      </c>
    </row>
    <row r="108" spans="3:13" ht="15.75" customHeight="1">
      <c r="C108" s="72" t="s">
        <v>158</v>
      </c>
      <c r="G108" s="102">
        <f>G107</f>
        <v>-94759.999999999985</v>
      </c>
      <c r="H108" s="102">
        <f>H107</f>
        <v>-107078.79999999997</v>
      </c>
      <c r="I108" s="102">
        <f>I107</f>
        <v>-119928.25599999999</v>
      </c>
      <c r="J108" s="102">
        <f>J107</f>
        <v>-133120.36416</v>
      </c>
      <c r="K108" s="102">
        <f>K107</f>
        <v>-146432.40057600001</v>
      </c>
    </row>
    <row r="109" spans="3:13" ht="15.75" customHeight="1">
      <c r="G109" s="91"/>
      <c r="H109" s="91"/>
      <c r="I109" s="91"/>
      <c r="J109" s="91"/>
      <c r="K109" s="91"/>
    </row>
    <row r="110" spans="3:13" ht="15.75" customHeight="1">
      <c r="C110" t="s">
        <v>131</v>
      </c>
      <c r="G110" s="91">
        <f>-G73</f>
        <v>-23444</v>
      </c>
      <c r="H110" s="91">
        <f>-H73</f>
        <v>-23444</v>
      </c>
      <c r="I110" s="91">
        <f>-I73</f>
        <v>-23444</v>
      </c>
      <c r="J110" s="91">
        <f>-J73</f>
        <v>-23444</v>
      </c>
      <c r="K110" s="91">
        <f>-K73</f>
        <v>-23444</v>
      </c>
    </row>
    <row r="111" spans="3:13" ht="15.75" customHeight="1">
      <c r="C111" t="s">
        <v>138</v>
      </c>
      <c r="G111" s="91">
        <v>0</v>
      </c>
      <c r="H111" s="91">
        <v>0</v>
      </c>
      <c r="I111" s="91">
        <v>0</v>
      </c>
      <c r="J111" s="91">
        <v>0</v>
      </c>
      <c r="K111" s="91">
        <v>0</v>
      </c>
    </row>
    <row r="112" spans="3:13" ht="18" customHeight="1">
      <c r="C112" t="s">
        <v>161</v>
      </c>
      <c r="F112" s="289"/>
      <c r="G112" s="91">
        <v>0</v>
      </c>
      <c r="H112" s="91">
        <v>0</v>
      </c>
      <c r="I112" s="91">
        <v>0</v>
      </c>
      <c r="J112" s="91">
        <v>0</v>
      </c>
      <c r="K112" s="91">
        <v>0</v>
      </c>
    </row>
    <row r="113" spans="2:15" ht="15.75" customHeight="1">
      <c r="C113" t="s">
        <v>163</v>
      </c>
      <c r="G113" s="91">
        <v>0</v>
      </c>
      <c r="H113" s="91">
        <v>0</v>
      </c>
      <c r="I113" s="91">
        <v>0</v>
      </c>
      <c r="J113" s="91">
        <v>0</v>
      </c>
      <c r="K113" s="91">
        <v>0</v>
      </c>
    </row>
    <row r="114" spans="2:15" ht="15.75" customHeight="1">
      <c r="C114" s="72" t="s">
        <v>164</v>
      </c>
      <c r="G114" s="91">
        <f>SUM(G110:G113)</f>
        <v>-23444</v>
      </c>
      <c r="H114" s="91">
        <f>SUM(H110:H113)</f>
        <v>-23444</v>
      </c>
      <c r="I114" s="91">
        <f>SUM(I110:I113)</f>
        <v>-23444</v>
      </c>
      <c r="J114" s="91">
        <f>SUM(J110:J113)</f>
        <v>-23444</v>
      </c>
      <c r="K114" s="91">
        <f>SUM(K110:K113)</f>
        <v>-23444</v>
      </c>
    </row>
    <row r="115" spans="2:15" ht="15.75" customHeight="1">
      <c r="G115" s="91"/>
      <c r="H115" s="91"/>
      <c r="I115" s="91"/>
      <c r="J115" s="91"/>
      <c r="K115" s="91"/>
    </row>
    <row r="116" spans="2:15" ht="15.75" customHeight="1">
      <c r="C116" s="72" t="s">
        <v>167</v>
      </c>
      <c r="G116" s="98">
        <f ca="1">G105+G108+G114</f>
        <v>296281.19912014925</v>
      </c>
      <c r="H116" s="98">
        <f ca="1">H105+H108+H114</f>
        <v>390161.52217358956</v>
      </c>
      <c r="I116" s="98">
        <f ca="1">I105+I108+I114</f>
        <v>501264.00173247326</v>
      </c>
      <c r="J116" s="98">
        <f ca="1">J105+J108+J114</f>
        <v>609901.61774736759</v>
      </c>
      <c r="K116" s="98">
        <f ca="1">K105+K108+K114</f>
        <v>721801.80802636012</v>
      </c>
    </row>
    <row r="118" spans="2:15" ht="15.75" customHeight="1">
      <c r="B118" t="s">
        <v>0</v>
      </c>
      <c r="C118" s="57" t="s">
        <v>168</v>
      </c>
      <c r="D118" s="6"/>
      <c r="E118" s="6"/>
      <c r="F118" s="6"/>
      <c r="G118" s="6"/>
      <c r="H118" s="6"/>
      <c r="I118" s="6"/>
      <c r="J118" s="6"/>
      <c r="K118" s="6"/>
    </row>
    <row r="119" spans="2:15" ht="15.75" customHeight="1">
      <c r="C119" s="79" t="str">
        <f t="shared" ref="C119:K119" si="20">C14</f>
        <v xml:space="preserve">Fiscal year  </v>
      </c>
      <c r="D119" s="81">
        <f t="shared" si="20"/>
        <v>2023</v>
      </c>
      <c r="E119" s="81">
        <f t="shared" si="20"/>
        <v>2024</v>
      </c>
      <c r="F119" s="81">
        <f t="shared" si="20"/>
        <v>2025</v>
      </c>
      <c r="G119" s="83">
        <f t="shared" si="20"/>
        <v>2026</v>
      </c>
      <c r="H119" s="83">
        <f t="shared" si="20"/>
        <v>2027</v>
      </c>
      <c r="I119" s="83">
        <f t="shared" si="20"/>
        <v>2028</v>
      </c>
      <c r="J119" s="83">
        <f t="shared" si="20"/>
        <v>2029</v>
      </c>
      <c r="K119" s="83">
        <f t="shared" si="20"/>
        <v>2030</v>
      </c>
    </row>
    <row r="120" spans="2:15" ht="15.75" customHeight="1">
      <c r="C120" s="6" t="str">
        <f t="shared" ref="C120:K120" si="21">C15</f>
        <v>Fiscal year end date</v>
      </c>
      <c r="D120" s="85">
        <f t="shared" si="21"/>
        <v>45291</v>
      </c>
      <c r="E120" s="85">
        <f t="shared" si="21"/>
        <v>45657</v>
      </c>
      <c r="F120" s="85">
        <f t="shared" si="21"/>
        <v>46022</v>
      </c>
      <c r="G120" s="85">
        <f t="shared" si="21"/>
        <v>46387</v>
      </c>
      <c r="H120" s="85">
        <f t="shared" si="21"/>
        <v>46752</v>
      </c>
      <c r="I120" s="85">
        <f t="shared" si="21"/>
        <v>47118</v>
      </c>
      <c r="J120" s="85">
        <f t="shared" si="21"/>
        <v>47483</v>
      </c>
      <c r="K120" s="85">
        <f t="shared" si="21"/>
        <v>47848</v>
      </c>
    </row>
    <row r="121" spans="2:15" ht="15.75" customHeight="1">
      <c r="C121" s="72"/>
      <c r="G121" s="306" t="s">
        <v>169</v>
      </c>
      <c r="H121" s="306"/>
      <c r="I121" s="306"/>
      <c r="J121" s="306"/>
      <c r="K121" s="306"/>
    </row>
    <row r="122" spans="2:15" ht="15.75" customHeight="1">
      <c r="C122" s="95" t="s">
        <v>170</v>
      </c>
      <c r="F122" s="91">
        <f>E56</f>
        <v>568607</v>
      </c>
      <c r="G122" s="91">
        <f>F125</f>
        <v>579971</v>
      </c>
      <c r="H122" s="91">
        <f>G125</f>
        <v>602971</v>
      </c>
      <c r="I122" s="91">
        <f>H125</f>
        <v>628961</v>
      </c>
      <c r="J122" s="91">
        <f>I125</f>
        <v>658069.80000000005</v>
      </c>
      <c r="K122" s="91">
        <f>J125</f>
        <v>690380.56800000009</v>
      </c>
    </row>
    <row r="123" spans="2:15" ht="15.75" customHeight="1">
      <c r="C123" s="44" t="s">
        <v>171</v>
      </c>
      <c r="D123" s="49"/>
      <c r="E123" s="49"/>
      <c r="F123" s="109">
        <v>82400</v>
      </c>
      <c r="G123" s="54">
        <f>($F$123/$F$17)*G17</f>
        <v>94759.999999999985</v>
      </c>
      <c r="H123" s="54">
        <f>($F$123/$F$17)*H17</f>
        <v>107078.79999999997</v>
      </c>
      <c r="I123" s="54">
        <f>($F$123/$F$17)*I17</f>
        <v>119928.25599999999</v>
      </c>
      <c r="J123" s="54">
        <f>($F$123/$F$17)*J17</f>
        <v>133120.36416</v>
      </c>
      <c r="K123" s="54">
        <f>($F$123/$F$17)*K17</f>
        <v>146432.40057600001</v>
      </c>
    </row>
    <row r="124" spans="2:15" ht="15.75" customHeight="1">
      <c r="C124" s="108" t="s">
        <v>173</v>
      </c>
      <c r="D124" s="109"/>
      <c r="E124" s="109"/>
      <c r="F124" s="109">
        <v>-62400</v>
      </c>
      <c r="G124" s="110">
        <f>-G123*G127</f>
        <v>-71759.999999999985</v>
      </c>
      <c r="H124" s="110">
        <f>-H123*H127</f>
        <v>-81088.799999999974</v>
      </c>
      <c r="I124" s="110">
        <f>-I123*I127</f>
        <v>-90819.455999999991</v>
      </c>
      <c r="J124" s="110">
        <f>-J123*J127</f>
        <v>-100809.59616</v>
      </c>
      <c r="K124" s="110">
        <f>-K123*K127</f>
        <v>-110890.55577600001</v>
      </c>
    </row>
    <row r="125" spans="2:15" ht="15.75" customHeight="1">
      <c r="C125" s="111" t="s">
        <v>175</v>
      </c>
      <c r="D125" s="102"/>
      <c r="E125" s="102"/>
      <c r="F125" s="102">
        <f>F56</f>
        <v>579971</v>
      </c>
      <c r="G125" s="102">
        <f>SUM(G122:G124)</f>
        <v>602971</v>
      </c>
      <c r="H125" s="102">
        <f>SUM(H122:H124)</f>
        <v>628961</v>
      </c>
      <c r="I125" s="102">
        <f>SUM(I122:I124)</f>
        <v>658069.80000000005</v>
      </c>
      <c r="J125" s="102">
        <f>SUM(J122:J124)</f>
        <v>690380.56800000009</v>
      </c>
      <c r="K125" s="102">
        <f>SUM(K122:K124)</f>
        <v>725922.41280000005</v>
      </c>
    </row>
    <row r="126" spans="2:15" ht="15.75" customHeight="1">
      <c r="C126" s="95"/>
      <c r="M126" s="26"/>
    </row>
    <row r="127" spans="2:15" ht="16.5" customHeight="1">
      <c r="C127" s="95" t="s">
        <v>176</v>
      </c>
      <c r="D127" s="112"/>
      <c r="E127" s="112"/>
      <c r="F127" s="113">
        <f>-F124/F123</f>
        <v>0.75728155339805825</v>
      </c>
      <c r="G127" s="42">
        <f>F127</f>
        <v>0.75728155339805825</v>
      </c>
      <c r="H127" s="42">
        <f>G127</f>
        <v>0.75728155339805825</v>
      </c>
      <c r="I127" s="42">
        <f>H127</f>
        <v>0.75728155339805825</v>
      </c>
      <c r="J127" s="42">
        <f>I127</f>
        <v>0.75728155339805825</v>
      </c>
      <c r="K127" s="42">
        <f>J127</f>
        <v>0.75728155339805825</v>
      </c>
    </row>
    <row r="128" spans="2:15" ht="15.75" customHeight="1">
      <c r="C128" s="95"/>
      <c r="D128" s="112"/>
      <c r="E128" s="112"/>
      <c r="F128" s="112"/>
      <c r="G128" s="42"/>
      <c r="H128" s="42"/>
      <c r="I128" s="42"/>
      <c r="J128" s="42"/>
      <c r="K128" s="42"/>
      <c r="O128" s="114"/>
    </row>
    <row r="129" spans="2:15" ht="15.75" customHeight="1">
      <c r="B129" t="s">
        <v>0</v>
      </c>
      <c r="C129" s="115" t="s">
        <v>177</v>
      </c>
      <c r="D129" s="116"/>
      <c r="E129" s="116"/>
      <c r="F129" s="116"/>
      <c r="G129" s="117"/>
      <c r="H129" s="117"/>
      <c r="I129" s="117"/>
      <c r="J129" s="117"/>
      <c r="K129" s="117"/>
      <c r="O129" s="114"/>
    </row>
    <row r="130" spans="2:15" ht="15.75" customHeight="1">
      <c r="C130" s="95" t="s">
        <v>178</v>
      </c>
      <c r="D130" s="91"/>
      <c r="E130" s="91"/>
      <c r="F130" s="91">
        <f>F33+F124</f>
        <v>131264</v>
      </c>
      <c r="G130" s="101">
        <v>121423</v>
      </c>
      <c r="H130" s="101">
        <v>111148</v>
      </c>
      <c r="I130" s="101">
        <v>109589</v>
      </c>
      <c r="J130" s="101">
        <v>106412</v>
      </c>
      <c r="K130" s="101">
        <v>105376</v>
      </c>
      <c r="O130" s="114"/>
    </row>
    <row r="131" spans="2:15" ht="15.75" customHeight="1">
      <c r="C131" s="44" t="s">
        <v>180</v>
      </c>
      <c r="D131" s="118"/>
      <c r="E131" s="118"/>
      <c r="F131" s="118"/>
      <c r="G131" s="42">
        <f>G130/G17</f>
        <v>1.741608098676314E-2</v>
      </c>
      <c r="H131" s="42">
        <f>H130/H17</f>
        <v>1.4108235019817356E-2</v>
      </c>
      <c r="I131" s="42">
        <f>I130/I17</f>
        <v>1.2419953636357797E-2</v>
      </c>
      <c r="J131" s="42">
        <f>J130/J17</f>
        <v>1.0864772516148221E-2</v>
      </c>
      <c r="K131" s="42">
        <f>K130/K17</f>
        <v>9.7809053375869683E-3</v>
      </c>
      <c r="O131" s="114"/>
    </row>
    <row r="132" spans="2:15" ht="15.75" customHeight="1">
      <c r="C132" s="97" t="s">
        <v>181</v>
      </c>
      <c r="D132" s="102"/>
      <c r="E132" s="102"/>
      <c r="F132" s="102"/>
      <c r="G132" s="98">
        <f>G130-G124</f>
        <v>193183</v>
      </c>
      <c r="H132" s="98">
        <f>H130-H124</f>
        <v>192236.79999999999</v>
      </c>
      <c r="I132" s="98">
        <f>I130-I124</f>
        <v>200408.45600000001</v>
      </c>
      <c r="J132" s="98">
        <f>J130-J124</f>
        <v>207221.59616000002</v>
      </c>
      <c r="K132" s="98">
        <f>K130-K124</f>
        <v>216266.55577600002</v>
      </c>
      <c r="O132" s="114"/>
    </row>
    <row r="133" spans="2:15" ht="15.75" customHeight="1">
      <c r="H133" s="91"/>
      <c r="I133" s="91"/>
      <c r="J133" s="91"/>
      <c r="K133" s="91"/>
    </row>
    <row r="134" spans="2:15" ht="15.75" customHeight="1">
      <c r="B134" t="s">
        <v>0</v>
      </c>
      <c r="C134" s="119" t="s">
        <v>182</v>
      </c>
      <c r="D134" s="120"/>
      <c r="E134" s="120"/>
      <c r="F134" s="120"/>
      <c r="G134" s="121">
        <f>G14</f>
        <v>2026</v>
      </c>
      <c r="H134" s="121">
        <f>H14</f>
        <v>2027</v>
      </c>
      <c r="I134" s="121">
        <f>I14</f>
        <v>2028</v>
      </c>
      <c r="J134" s="121">
        <f>J14</f>
        <v>2029</v>
      </c>
      <c r="K134" s="121">
        <f>K14</f>
        <v>2030</v>
      </c>
    </row>
    <row r="135" spans="2:15" ht="15.75" customHeight="1">
      <c r="C135" s="95" t="s">
        <v>170</v>
      </c>
      <c r="F135" s="91">
        <f>E86</f>
        <v>-1563321</v>
      </c>
      <c r="G135" s="91">
        <f>F139</f>
        <v>-1285904</v>
      </c>
      <c r="H135" s="91">
        <f ca="1">G139</f>
        <v>-878023.88341250003</v>
      </c>
      <c r="I135" s="91">
        <f ca="1">H139</f>
        <v>-364155.80191062519</v>
      </c>
      <c r="J135" s="91">
        <f ca="1">I139</f>
        <v>272944.30514471477</v>
      </c>
      <c r="K135" s="91">
        <f ca="1">J139</f>
        <v>1030407.6346446398</v>
      </c>
    </row>
    <row r="136" spans="2:15" ht="15.75" customHeight="1">
      <c r="C136" s="44" t="s">
        <v>183</v>
      </c>
      <c r="D136" s="101"/>
      <c r="E136" s="101"/>
      <c r="F136" s="91">
        <f t="shared" ref="F136:K136" si="22">F31</f>
        <v>277417</v>
      </c>
      <c r="G136" s="91">
        <f t="shared" ca="1" si="22"/>
        <v>407880.11658749997</v>
      </c>
      <c r="H136" s="91">
        <f t="shared" ca="1" si="22"/>
        <v>513868.08150187484</v>
      </c>
      <c r="I136" s="91">
        <f t="shared" ca="1" si="22"/>
        <v>637100.10705533996</v>
      </c>
      <c r="J136" s="91">
        <f t="shared" ca="1" si="22"/>
        <v>757463.32949992502</v>
      </c>
      <c r="K136" s="91">
        <f t="shared" ca="1" si="22"/>
        <v>875216.84574111574</v>
      </c>
    </row>
    <row r="137" spans="2:15" ht="15.75" customHeight="1">
      <c r="C137" s="44" t="s">
        <v>184</v>
      </c>
      <c r="D137" s="49"/>
      <c r="E137" s="49"/>
      <c r="F137" s="91">
        <f t="shared" ref="F137:K137" si="23">-F113</f>
        <v>0</v>
      </c>
      <c r="G137" s="91">
        <f t="shared" si="23"/>
        <v>0</v>
      </c>
      <c r="H137" s="91">
        <f t="shared" si="23"/>
        <v>0</v>
      </c>
      <c r="I137" s="91">
        <f t="shared" si="23"/>
        <v>0</v>
      </c>
      <c r="J137" s="91">
        <f t="shared" si="23"/>
        <v>0</v>
      </c>
      <c r="K137" s="91">
        <f t="shared" si="23"/>
        <v>0</v>
      </c>
    </row>
    <row r="138" spans="2:15" ht="15.75" customHeight="1">
      <c r="C138" s="108" t="s">
        <v>185</v>
      </c>
      <c r="D138" s="109"/>
      <c r="E138" s="109"/>
      <c r="F138" s="110">
        <f t="shared" ref="F138:K138" si="24">-F112</f>
        <v>0</v>
      </c>
      <c r="G138" s="110">
        <f t="shared" si="24"/>
        <v>0</v>
      </c>
      <c r="H138" s="110">
        <f t="shared" si="24"/>
        <v>0</v>
      </c>
      <c r="I138" s="110">
        <f t="shared" si="24"/>
        <v>0</v>
      </c>
      <c r="J138" s="110">
        <f t="shared" si="24"/>
        <v>0</v>
      </c>
      <c r="K138" s="110">
        <f t="shared" si="24"/>
        <v>0</v>
      </c>
    </row>
    <row r="139" spans="2:15" ht="15.75" customHeight="1">
      <c r="C139" s="111" t="s">
        <v>175</v>
      </c>
      <c r="D139" s="98"/>
      <c r="E139" s="98"/>
      <c r="F139" s="98">
        <f t="shared" ref="F139:K139" si="25">SUM(F135:F138)</f>
        <v>-1285904</v>
      </c>
      <c r="G139" s="98">
        <f t="shared" ca="1" si="25"/>
        <v>-878023.88341250003</v>
      </c>
      <c r="H139" s="98">
        <f t="shared" ca="1" si="25"/>
        <v>-364155.80191062519</v>
      </c>
      <c r="I139" s="98">
        <f t="shared" ca="1" si="25"/>
        <v>272944.30514471477</v>
      </c>
      <c r="J139" s="98">
        <f t="shared" ca="1" si="25"/>
        <v>1030407.6346446398</v>
      </c>
      <c r="K139" s="98">
        <f t="shared" ca="1" si="25"/>
        <v>1905624.4803857557</v>
      </c>
    </row>
    <row r="140" spans="2:15" ht="15.75" customHeight="1">
      <c r="E140" s="104"/>
      <c r="F140" s="104"/>
    </row>
    <row r="141" spans="2:15" ht="15.75" customHeight="1">
      <c r="B141" t="s">
        <v>0</v>
      </c>
      <c r="C141" s="57" t="s">
        <v>186</v>
      </c>
      <c r="D141" s="6"/>
      <c r="E141" s="6"/>
      <c r="F141" s="6"/>
      <c r="G141" s="6"/>
      <c r="H141" s="6"/>
      <c r="I141" s="6"/>
      <c r="J141" s="6"/>
      <c r="K141" s="6"/>
    </row>
    <row r="142" spans="2:15" ht="15.75" customHeight="1">
      <c r="C142" s="79" t="str">
        <f t="shared" ref="C142:K142" si="26">C14</f>
        <v xml:space="preserve">Fiscal year  </v>
      </c>
      <c r="D142" s="81">
        <f t="shared" si="26"/>
        <v>2023</v>
      </c>
      <c r="E142" s="81">
        <f t="shared" si="26"/>
        <v>2024</v>
      </c>
      <c r="F142" s="81">
        <f t="shared" si="26"/>
        <v>2025</v>
      </c>
      <c r="G142" s="83">
        <f t="shared" si="26"/>
        <v>2026</v>
      </c>
      <c r="H142" s="83">
        <f t="shared" si="26"/>
        <v>2027</v>
      </c>
      <c r="I142" s="83">
        <f t="shared" si="26"/>
        <v>2028</v>
      </c>
      <c r="J142" s="83">
        <f t="shared" si="26"/>
        <v>2029</v>
      </c>
      <c r="K142" s="83">
        <f t="shared" si="26"/>
        <v>2030</v>
      </c>
    </row>
    <row r="143" spans="2:15" ht="15.75" customHeight="1">
      <c r="C143" s="6" t="str">
        <f t="shared" ref="C143:K143" si="27">C15</f>
        <v>Fiscal year end date</v>
      </c>
      <c r="D143" s="85">
        <f t="shared" si="27"/>
        <v>45291</v>
      </c>
      <c r="E143" s="85">
        <f t="shared" si="27"/>
        <v>45657</v>
      </c>
      <c r="F143" s="85">
        <f t="shared" si="27"/>
        <v>46022</v>
      </c>
      <c r="G143" s="85">
        <f t="shared" si="27"/>
        <v>46387</v>
      </c>
      <c r="H143" s="85">
        <f t="shared" si="27"/>
        <v>46752</v>
      </c>
      <c r="I143" s="85">
        <f t="shared" si="27"/>
        <v>47118</v>
      </c>
      <c r="J143" s="85">
        <f t="shared" si="27"/>
        <v>47483</v>
      </c>
      <c r="K143" s="85">
        <f t="shared" si="27"/>
        <v>47848</v>
      </c>
    </row>
    <row r="144" spans="2:15" ht="15.75" customHeight="1">
      <c r="C144" s="72"/>
    </row>
    <row r="145" spans="2:11" ht="15.75" customHeight="1">
      <c r="C145" s="26" t="s">
        <v>187</v>
      </c>
    </row>
    <row r="146" spans="2:11" ht="15.75" customHeight="1">
      <c r="C146" s="44" t="s">
        <v>188</v>
      </c>
      <c r="G146" s="91">
        <f>F49</f>
        <v>289717</v>
      </c>
      <c r="H146" s="91">
        <f ca="1">G49</f>
        <v>585998.19912014925</v>
      </c>
      <c r="I146" s="91">
        <f ca="1">H49</f>
        <v>976159.72129373881</v>
      </c>
      <c r="J146" s="91">
        <f ca="1">I49</f>
        <v>1477423.7230262121</v>
      </c>
      <c r="K146" s="91">
        <f ca="1">J49</f>
        <v>2087325.3407735797</v>
      </c>
    </row>
    <row r="147" spans="2:11" ht="15.75" customHeight="1">
      <c r="C147" s="44" t="s">
        <v>189</v>
      </c>
      <c r="G147" s="49">
        <v>-50000</v>
      </c>
      <c r="H147" s="49">
        <v>-50000</v>
      </c>
      <c r="I147" s="49">
        <v>-50000</v>
      </c>
      <c r="J147" s="49">
        <v>-50000</v>
      </c>
      <c r="K147" s="49">
        <v>-50000</v>
      </c>
    </row>
    <row r="148" spans="2:11" ht="15.75" customHeight="1">
      <c r="C148" s="108" t="s">
        <v>190</v>
      </c>
      <c r="D148" s="122"/>
      <c r="E148" s="122"/>
      <c r="F148" s="122"/>
      <c r="G148" s="110">
        <f ca="1">G105+G108+G110+G112+G113</f>
        <v>296281.19912014925</v>
      </c>
      <c r="H148" s="110">
        <f ca="1">H105+H108+H110+H112+H113</f>
        <v>390161.52217358956</v>
      </c>
      <c r="I148" s="110">
        <f ca="1">I105+I108+I110+I112+I113</f>
        <v>501264.00173247326</v>
      </c>
      <c r="J148" s="110">
        <f ca="1">J105+J108+J110+J112+J113</f>
        <v>609901.61774736759</v>
      </c>
      <c r="K148" s="110">
        <f ca="1">K105+K108+K110+K112+K113</f>
        <v>721801.80802636012</v>
      </c>
    </row>
    <row r="149" spans="2:11" ht="15.75" customHeight="1">
      <c r="C149" s="111" t="s">
        <v>191</v>
      </c>
      <c r="G149" s="98">
        <f ca="1">SUM(G146:G148)</f>
        <v>535998.19912014925</v>
      </c>
      <c r="H149" s="98">
        <f ca="1">SUM(H146:H148)</f>
        <v>926159.72129373881</v>
      </c>
      <c r="I149" s="98">
        <f ca="1">SUM(I146:I148)</f>
        <v>1427423.7230262121</v>
      </c>
      <c r="J149" s="98">
        <f ca="1">SUM(J146:J148)</f>
        <v>2037325.3407735797</v>
      </c>
      <c r="K149" s="98">
        <f ca="1">SUM(K146:K148)</f>
        <v>2759127.14879994</v>
      </c>
    </row>
    <row r="150" spans="2:11" ht="15.75" customHeight="1">
      <c r="C150" s="44"/>
      <c r="G150" s="123"/>
      <c r="H150" s="123"/>
      <c r="I150" s="123"/>
      <c r="J150" s="123"/>
      <c r="K150" s="123"/>
    </row>
    <row r="151" spans="2:11" ht="15.75" customHeight="1">
      <c r="C151" s="72" t="s">
        <v>192</v>
      </c>
    </row>
    <row r="152" spans="2:11" ht="15.75" customHeight="1">
      <c r="C152" s="44" t="s">
        <v>170</v>
      </c>
      <c r="G152" s="54">
        <f>F81</f>
        <v>0</v>
      </c>
      <c r="H152" s="91">
        <f ca="1">G155</f>
        <v>0</v>
      </c>
      <c r="I152" s="91">
        <f ca="1">H155</f>
        <v>0</v>
      </c>
      <c r="J152" s="91">
        <f ca="1">I155</f>
        <v>0</v>
      </c>
      <c r="K152" s="91">
        <f ca="1">J155</f>
        <v>0</v>
      </c>
    </row>
    <row r="153" spans="2:11" ht="15.75" customHeight="1">
      <c r="C153" s="44" t="s">
        <v>193</v>
      </c>
      <c r="G153" s="91">
        <f ca="1">IF(G149&lt;0,-G149,IF(G152&gt;0,-MIN(G152,G149),0))</f>
        <v>0</v>
      </c>
      <c r="H153" s="91">
        <f ca="1">IF(H149&lt;0,-H149,IF(H152&gt;0,-MIN(H152,H149),0))</f>
        <v>0</v>
      </c>
      <c r="I153" s="91">
        <f ca="1">IF(I149&lt;0,-I149,IF(I152&gt;0,-MIN(I152,I149),0))</f>
        <v>0</v>
      </c>
      <c r="J153" s="91">
        <f ca="1">IF(J149&lt;0,-J149,IF(J152&gt;0,-MIN(J152,J149),0))</f>
        <v>0</v>
      </c>
      <c r="K153" s="91">
        <f ca="1">IF(K149&lt;0,-K149,IF(K152&gt;0,-MIN(K152,K149),0))</f>
        <v>0</v>
      </c>
    </row>
    <row r="154" spans="2:11" ht="15.75" customHeight="1">
      <c r="C154" s="108" t="s">
        <v>194</v>
      </c>
      <c r="D154" s="122"/>
      <c r="E154" s="122"/>
      <c r="F154" s="122"/>
      <c r="G154" s="109">
        <v>0</v>
      </c>
      <c r="H154" s="109">
        <v>0</v>
      </c>
      <c r="I154" s="109">
        <v>0</v>
      </c>
      <c r="J154" s="109">
        <v>0</v>
      </c>
      <c r="K154" s="109">
        <v>0</v>
      </c>
    </row>
    <row r="155" spans="2:11" ht="15.75" customHeight="1">
      <c r="C155" s="124" t="s">
        <v>175</v>
      </c>
      <c r="D155" s="125"/>
      <c r="E155" s="125"/>
      <c r="F155" s="125"/>
      <c r="G155" s="126">
        <f ca="1">G152+G153+G154</f>
        <v>0</v>
      </c>
      <c r="H155" s="126">
        <f ca="1">H152+H153+H154</f>
        <v>0</v>
      </c>
      <c r="I155" s="126">
        <f ca="1">I152+I153+I154</f>
        <v>0</v>
      </c>
      <c r="J155" s="126">
        <f ca="1">J152+J153+J154</f>
        <v>0</v>
      </c>
      <c r="K155" s="126">
        <f ca="1">K152+K153+K154</f>
        <v>0</v>
      </c>
    </row>
    <row r="156" spans="2:11" ht="15.75" customHeight="1">
      <c r="C156" s="127" t="s">
        <v>195</v>
      </c>
      <c r="D156" s="129"/>
      <c r="E156" s="129"/>
      <c r="F156" s="130">
        <f t="shared" ref="F156:K156" si="28">F75+F73</f>
        <v>2214605</v>
      </c>
      <c r="G156" s="131">
        <f t="shared" ca="1" si="28"/>
        <v>2191161</v>
      </c>
      <c r="H156" s="131">
        <f t="shared" ca="1" si="28"/>
        <v>2167717</v>
      </c>
      <c r="I156" s="131">
        <f t="shared" ca="1" si="28"/>
        <v>2144273</v>
      </c>
      <c r="J156" s="131">
        <f t="shared" ca="1" si="28"/>
        <v>2120829</v>
      </c>
      <c r="K156" s="132">
        <f t="shared" ca="1" si="28"/>
        <v>2097385</v>
      </c>
    </row>
    <row r="157" spans="2:11" ht="15.75" customHeight="1">
      <c r="D157" s="91"/>
      <c r="E157" s="91"/>
      <c r="F157" s="133"/>
      <c r="G157" s="134"/>
      <c r="H157" s="134"/>
      <c r="I157" s="134"/>
      <c r="J157" s="134"/>
      <c r="K157" s="134"/>
    </row>
    <row r="158" spans="2:11" ht="15.75" customHeight="1">
      <c r="B158" t="s">
        <v>0</v>
      </c>
      <c r="C158" s="57" t="s">
        <v>196</v>
      </c>
      <c r="D158" s="116"/>
      <c r="E158" s="116"/>
      <c r="F158" s="116"/>
      <c r="G158" s="135"/>
      <c r="H158" s="135"/>
      <c r="I158" s="135"/>
      <c r="J158" s="135"/>
      <c r="K158" s="135"/>
    </row>
    <row r="159" spans="2:11" ht="15.75" customHeight="1">
      <c r="C159" s="79" t="str">
        <f t="shared" ref="C159:K159" si="29">C14</f>
        <v xml:space="preserve">Fiscal year  </v>
      </c>
      <c r="D159" s="81">
        <f t="shared" si="29"/>
        <v>2023</v>
      </c>
      <c r="E159" s="81">
        <f t="shared" si="29"/>
        <v>2024</v>
      </c>
      <c r="F159" s="81">
        <f t="shared" si="29"/>
        <v>2025</v>
      </c>
      <c r="G159" s="83">
        <f t="shared" si="29"/>
        <v>2026</v>
      </c>
      <c r="H159" s="83">
        <f t="shared" si="29"/>
        <v>2027</v>
      </c>
      <c r="I159" s="83">
        <f t="shared" si="29"/>
        <v>2028</v>
      </c>
      <c r="J159" s="83">
        <f t="shared" si="29"/>
        <v>2029</v>
      </c>
      <c r="K159" s="83">
        <f t="shared" si="29"/>
        <v>2030</v>
      </c>
    </row>
    <row r="160" spans="2:11" ht="15.75" customHeight="1">
      <c r="C160" s="6" t="str">
        <f t="shared" ref="C160:K160" si="30">C15</f>
        <v>Fiscal year end date</v>
      </c>
      <c r="D160" s="85">
        <f t="shared" si="30"/>
        <v>45291</v>
      </c>
      <c r="E160" s="85">
        <f t="shared" si="30"/>
        <v>45657</v>
      </c>
      <c r="F160" s="85">
        <f t="shared" si="30"/>
        <v>46022</v>
      </c>
      <c r="G160" s="85">
        <f t="shared" si="30"/>
        <v>46387</v>
      </c>
      <c r="H160" s="85">
        <f t="shared" si="30"/>
        <v>46752</v>
      </c>
      <c r="I160" s="85">
        <f t="shared" si="30"/>
        <v>47118</v>
      </c>
      <c r="J160" s="85">
        <f t="shared" si="30"/>
        <v>47483</v>
      </c>
      <c r="K160" s="85">
        <f t="shared" si="30"/>
        <v>47848</v>
      </c>
    </row>
    <row r="161" spans="3:11" ht="15.75" customHeight="1">
      <c r="C161" s="44"/>
      <c r="D161" s="91"/>
      <c r="E161" s="91"/>
      <c r="F161" s="91"/>
      <c r="G161" s="136"/>
      <c r="H161" s="136"/>
      <c r="I161" s="136"/>
      <c r="J161" s="136"/>
      <c r="K161" s="136"/>
    </row>
    <row r="162" spans="3:11" ht="15.75" customHeight="1">
      <c r="C162" s="95" t="s">
        <v>197</v>
      </c>
      <c r="D162" s="91"/>
      <c r="E162" s="91"/>
      <c r="F162" s="98">
        <f>F25</f>
        <v>-174217</v>
      </c>
      <c r="G162" s="98">
        <f ca="1">G167+G172</f>
        <v>-138781.62900000002</v>
      </c>
      <c r="H162" s="98">
        <f ca="1">H167+H172</f>
        <v>-137304.65700000001</v>
      </c>
      <c r="I162" s="98">
        <f ca="1">I167+I172</f>
        <v>-135827.685</v>
      </c>
      <c r="J162" s="98">
        <f ca="1">J167+J172</f>
        <v>-134350.71299999999</v>
      </c>
      <c r="K162" s="98">
        <f ca="1">K167+K172</f>
        <v>-132873.74100000001</v>
      </c>
    </row>
    <row r="163" spans="3:11" ht="15.75" customHeight="1">
      <c r="C163" s="137"/>
    </row>
    <row r="164" spans="3:11" ht="15.75" customHeight="1">
      <c r="C164" s="138" t="s">
        <v>198</v>
      </c>
    </row>
    <row r="165" spans="3:11" ht="15.75" customHeight="1">
      <c r="C165" s="44" t="s">
        <v>199</v>
      </c>
      <c r="G165" s="43">
        <v>6.0499999999999998E-2</v>
      </c>
      <c r="H165" s="43">
        <v>6.0499999999999998E-2</v>
      </c>
      <c r="I165" s="43">
        <v>6.0499999999999998E-2</v>
      </c>
      <c r="J165" s="43">
        <v>6.0499999999999998E-2</v>
      </c>
      <c r="K165" s="43">
        <v>6.0499999999999998E-2</v>
      </c>
    </row>
    <row r="166" spans="3:11" ht="15.75" customHeight="1">
      <c r="C166" s="44" t="s">
        <v>200</v>
      </c>
      <c r="D166" s="91"/>
      <c r="E166" s="91"/>
      <c r="F166" s="91">
        <v>0</v>
      </c>
      <c r="G166" s="91">
        <f ca="1">G155</f>
        <v>0</v>
      </c>
      <c r="H166" s="91">
        <f ca="1">H155</f>
        <v>0</v>
      </c>
      <c r="I166" s="91">
        <f ca="1">I155</f>
        <v>0</v>
      </c>
      <c r="J166" s="91">
        <f ca="1">J155</f>
        <v>0</v>
      </c>
      <c r="K166" s="91">
        <f ca="1">K155</f>
        <v>0</v>
      </c>
    </row>
    <row r="167" spans="3:11" ht="15.75" customHeight="1">
      <c r="C167" s="139" t="s">
        <v>201</v>
      </c>
      <c r="D167" s="140"/>
      <c r="E167" s="140"/>
      <c r="F167" s="141">
        <v>0</v>
      </c>
      <c r="G167" s="141">
        <f ca="1">-G165*(F166+G166)/2</f>
        <v>0</v>
      </c>
      <c r="H167" s="141">
        <f ca="1">-H165*(G166+H166)/2</f>
        <v>0</v>
      </c>
      <c r="I167" s="141">
        <f ca="1">-I165*(H166+I166)/2</f>
        <v>0</v>
      </c>
      <c r="J167" s="141">
        <f ca="1">-J165*(I166+J166)/2</f>
        <v>0</v>
      </c>
      <c r="K167" s="141">
        <f ca="1">-K165*(J166+K166)/2</f>
        <v>0</v>
      </c>
    </row>
    <row r="168" spans="3:11" ht="15.75" customHeight="1">
      <c r="C168" s="89"/>
      <c r="D168" s="91"/>
      <c r="E168" s="91"/>
      <c r="F168" s="91"/>
    </row>
    <row r="169" spans="3:11" ht="15.75" customHeight="1">
      <c r="C169" s="138" t="s">
        <v>131</v>
      </c>
      <c r="D169" s="91"/>
      <c r="E169" s="91"/>
      <c r="F169" s="91"/>
    </row>
    <row r="170" spans="3:11" ht="15.75" customHeight="1">
      <c r="C170" s="44" t="s">
        <v>200</v>
      </c>
      <c r="D170" s="91"/>
      <c r="E170" s="91">
        <f t="shared" ref="E170:K170" si="31">E75+E73</f>
        <v>2231426</v>
      </c>
      <c r="F170" s="91">
        <f t="shared" si="31"/>
        <v>2214605</v>
      </c>
      <c r="G170" s="91">
        <f t="shared" ca="1" si="31"/>
        <v>2191161</v>
      </c>
      <c r="H170" s="91">
        <f t="shared" ca="1" si="31"/>
        <v>2167717</v>
      </c>
      <c r="I170" s="91">
        <f t="shared" ca="1" si="31"/>
        <v>2144273</v>
      </c>
      <c r="J170" s="91">
        <f t="shared" ca="1" si="31"/>
        <v>2120829</v>
      </c>
      <c r="K170" s="91">
        <f t="shared" ca="1" si="31"/>
        <v>2097385</v>
      </c>
    </row>
    <row r="171" spans="3:11" ht="15.75" customHeight="1">
      <c r="C171" s="44" t="s">
        <v>199</v>
      </c>
      <c r="E171" s="118"/>
      <c r="F171" s="112">
        <f>-F25/((E170+F170)/2)</f>
        <v>7.8369673985628982E-2</v>
      </c>
      <c r="G171" s="43">
        <v>6.3E-2</v>
      </c>
      <c r="H171" s="43">
        <v>6.3E-2</v>
      </c>
      <c r="I171" s="43">
        <v>6.3E-2</v>
      </c>
      <c r="J171" s="43">
        <v>6.3E-2</v>
      </c>
      <c r="K171" s="43">
        <v>6.3E-2</v>
      </c>
    </row>
    <row r="172" spans="3:11" ht="15.75" customHeight="1">
      <c r="C172" s="111" t="s">
        <v>74</v>
      </c>
      <c r="D172" s="102"/>
      <c r="E172" s="102"/>
      <c r="F172" s="91">
        <f>F25</f>
        <v>-174217</v>
      </c>
      <c r="G172" s="91">
        <f ca="1">-G171*(F170+G170)/2</f>
        <v>-138781.62900000002</v>
      </c>
      <c r="H172" s="91">
        <f ca="1">-H171*(G170+H170)/2</f>
        <v>-137304.65700000001</v>
      </c>
      <c r="I172" s="91">
        <f ca="1">-I171*(H170+I170)/2</f>
        <v>-135827.685</v>
      </c>
      <c r="J172" s="91">
        <f ca="1">-J171*(I170+J170)/2</f>
        <v>-134350.71299999999</v>
      </c>
      <c r="K172" s="91">
        <f ca="1">-K171*(J170+K170)/2</f>
        <v>-132873.74100000001</v>
      </c>
    </row>
    <row r="173" spans="3:11" ht="15.75" customHeight="1">
      <c r="C173" s="111"/>
      <c r="D173" s="102"/>
      <c r="E173" s="102"/>
      <c r="F173" s="102"/>
      <c r="G173" s="102"/>
      <c r="H173" s="102"/>
      <c r="I173" s="102"/>
      <c r="J173" s="102"/>
      <c r="K173" s="102"/>
    </row>
    <row r="174" spans="3:11" ht="15.75" customHeight="1">
      <c r="C174" s="137" t="s">
        <v>202</v>
      </c>
      <c r="E174" s="91"/>
      <c r="F174" s="91"/>
    </row>
    <row r="175" spans="3:11" ht="15.75" customHeight="1">
      <c r="C175" s="44" t="s">
        <v>203</v>
      </c>
      <c r="G175" s="43">
        <v>0.04</v>
      </c>
      <c r="H175" s="43">
        <v>0.04</v>
      </c>
      <c r="I175" s="43">
        <v>0.04</v>
      </c>
      <c r="J175" s="43">
        <v>0.04</v>
      </c>
      <c r="K175" s="43">
        <v>0.04</v>
      </c>
    </row>
    <row r="176" spans="3:11" ht="15.75" customHeight="1">
      <c r="C176" s="44" t="s">
        <v>73</v>
      </c>
      <c r="D176" s="91"/>
      <c r="E176" s="91"/>
      <c r="F176" s="91">
        <f>F24</f>
        <v>0</v>
      </c>
      <c r="G176" s="91">
        <f ca="1">G175*(F49+G49)/2</f>
        <v>17514.303982402984</v>
      </c>
      <c r="H176" s="91">
        <f ca="1">H175*(G49+H49)/2</f>
        <v>31243.158408277763</v>
      </c>
      <c r="I176" s="91">
        <f ca="1">I175*(H49+I49)/2</f>
        <v>49071.66888639902</v>
      </c>
      <c r="J176" s="91">
        <f ca="1">J175*(I49+J49)/2</f>
        <v>71294.981275995844</v>
      </c>
      <c r="K176" s="91">
        <f ca="1">K175*(J49+K49)/2</f>
        <v>97929.049791470403</v>
      </c>
    </row>
  </sheetData>
  <mergeCells count="1">
    <mergeCell ref="G121:K121"/>
  </mergeCells>
  <conditionalFormatting sqref="C41">
    <cfRule type="expression" dxfId="2" priority="2">
      <formula>#REF!=$C41</formula>
    </cfRule>
  </conditionalFormatting>
  <dataValidations count="2">
    <dataValidation type="list" allowBlank="1" showInputMessage="1" showErrorMessage="1" sqref="C3" xr:uid="{00000000-0002-0000-0900-000000000000}">
      <formula1>"$ bns except per share,$ mm except per share,$ in thousands except per share"</formula1>
      <formula2>0</formula2>
    </dataValidation>
    <dataValidation type="list" allowBlank="1" showInputMessage="1" showErrorMessage="1" sqref="D7" xr:uid="{00000000-0002-0000-0900-000001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2:O182"/>
  <sheetViews>
    <sheetView showGridLines="0" topLeftCell="A109" zoomScale="116" zoomScaleNormal="116" workbookViewId="0">
      <selection activeCell="G62" sqref="G62"/>
    </sheetView>
  </sheetViews>
  <sheetFormatPr baseColWidth="10" defaultColWidth="11" defaultRowHeight="16"/>
  <cols>
    <col min="1" max="1" width="2.5" customWidth="1"/>
    <col min="2" max="2" width="2.1640625" customWidth="1"/>
    <col min="3" max="3" width="26.1640625" customWidth="1"/>
    <col min="4" max="4" width="12.6640625" customWidth="1"/>
    <col min="7" max="7" width="12.5" customWidth="1"/>
    <col min="12" max="12" width="2.1640625" customWidth="1"/>
  </cols>
  <sheetData>
    <row r="2" spans="3:15" ht="15.75" customHeight="1">
      <c r="C2" s="2" t="str">
        <f>"Financial Statement Model for "&amp;D5</f>
        <v>Financial Statement Model for StandardAero</v>
      </c>
      <c r="D2" s="3"/>
      <c r="E2" s="3"/>
      <c r="F2" s="3"/>
      <c r="G2" s="3"/>
      <c r="H2" s="3"/>
      <c r="I2" s="3"/>
      <c r="J2" s="3"/>
      <c r="K2" s="3"/>
    </row>
    <row r="3" spans="3:15" ht="15.75" customHeight="1">
      <c r="C3" s="4" t="s">
        <v>1</v>
      </c>
      <c r="D3" s="5"/>
      <c r="E3" s="5"/>
      <c r="F3" s="5"/>
      <c r="G3" s="5"/>
      <c r="H3" s="5"/>
    </row>
    <row r="5" spans="3:15" ht="15.75" customHeight="1">
      <c r="C5" s="282" t="s">
        <v>3</v>
      </c>
      <c r="D5" s="283" t="s">
        <v>4</v>
      </c>
    </row>
    <row r="6" spans="3:15" ht="15.75" customHeight="1">
      <c r="C6" s="282" t="s">
        <v>5</v>
      </c>
      <c r="D6" s="283" t="s">
        <v>6</v>
      </c>
    </row>
    <row r="7" spans="3:15" ht="15.75" customHeight="1">
      <c r="C7" t="s">
        <v>377</v>
      </c>
      <c r="D7" s="292">
        <v>1</v>
      </c>
    </row>
    <row r="8" spans="3:15" ht="15.75" customHeight="1">
      <c r="C8" t="s">
        <v>7</v>
      </c>
      <c r="D8" s="284">
        <v>25.59</v>
      </c>
    </row>
    <row r="9" spans="3:15" ht="15.75" customHeight="1">
      <c r="C9" t="s">
        <v>8</v>
      </c>
      <c r="D9" s="285">
        <v>46119</v>
      </c>
    </row>
    <row r="10" spans="3:15" ht="15.75" customHeight="1">
      <c r="C10" s="282" t="s">
        <v>9</v>
      </c>
      <c r="D10" s="286">
        <v>46022</v>
      </c>
    </row>
    <row r="11" spans="3:15" ht="15.75" customHeight="1">
      <c r="C11" t="s">
        <v>10</v>
      </c>
      <c r="D11" s="287">
        <v>334321</v>
      </c>
    </row>
    <row r="13" spans="3:15" ht="15.75" customHeight="1">
      <c r="C13" s="57" t="s">
        <v>61</v>
      </c>
      <c r="D13" s="6"/>
      <c r="E13" s="6"/>
      <c r="F13" s="6"/>
      <c r="G13" s="6"/>
      <c r="H13" s="6"/>
      <c r="I13" s="6"/>
      <c r="J13" s="6"/>
      <c r="K13" s="6"/>
    </row>
    <row r="14" spans="3:15" ht="15.75" customHeight="1">
      <c r="C14" t="s">
        <v>22</v>
      </c>
      <c r="D14" s="58">
        <f>E14-1</f>
        <v>2023</v>
      </c>
      <c r="E14" s="58">
        <f>F14-1</f>
        <v>2024</v>
      </c>
      <c r="F14" s="58">
        <f>YEAR(D10)</f>
        <v>2025</v>
      </c>
      <c r="G14" s="59">
        <f>F14+1</f>
        <v>2026</v>
      </c>
      <c r="H14" s="59">
        <f>G14+1</f>
        <v>2027</v>
      </c>
      <c r="I14" s="59">
        <f>H14+1</f>
        <v>2028</v>
      </c>
      <c r="J14" s="59">
        <f>I14+1</f>
        <v>2029</v>
      </c>
      <c r="K14" s="59">
        <f>J14+1</f>
        <v>2030</v>
      </c>
    </row>
    <row r="15" spans="3:15" ht="15.75" customHeight="1">
      <c r="C15" s="30" t="s">
        <v>23</v>
      </c>
      <c r="D15" s="31">
        <f>EOMONTH(E15,-12)</f>
        <v>45291</v>
      </c>
      <c r="E15" s="31">
        <f>EOMONTH(F15,-12)</f>
        <v>45657</v>
      </c>
      <c r="F15" s="31">
        <f>D10</f>
        <v>46022</v>
      </c>
      <c r="G15" s="31">
        <f>EOMONTH(F15,12)</f>
        <v>46387</v>
      </c>
      <c r="H15" s="31">
        <f>EOMONTH(G15,12)</f>
        <v>46752</v>
      </c>
      <c r="I15" s="31">
        <f>EOMONTH(H15,12)</f>
        <v>47118</v>
      </c>
      <c r="J15" s="31">
        <f>EOMONTH(I15,12)</f>
        <v>47483</v>
      </c>
      <c r="K15" s="31">
        <f>EOMONTH(J15,12)</f>
        <v>47848</v>
      </c>
      <c r="M15" s="57" t="s">
        <v>2</v>
      </c>
      <c r="N15" s="6"/>
      <c r="O15" s="6"/>
    </row>
    <row r="16" spans="3:15" ht="15.75" customHeight="1">
      <c r="C16" s="60"/>
      <c r="D16" s="61"/>
      <c r="E16" s="62"/>
      <c r="F16" s="62"/>
      <c r="G16" s="63"/>
      <c r="H16" s="64"/>
      <c r="I16" s="64"/>
      <c r="J16" s="62"/>
      <c r="K16" s="62"/>
    </row>
    <row r="17" spans="3:14" ht="15.75" customHeight="1">
      <c r="C17" t="s">
        <v>386</v>
      </c>
      <c r="D17" s="49">
        <v>4563284</v>
      </c>
      <c r="E17" s="49">
        <v>5237161</v>
      </c>
      <c r="F17" s="49">
        <v>6062513</v>
      </c>
      <c r="G17" s="91">
        <f>F17*(1+G39)</f>
        <v>6971889.9499999993</v>
      </c>
      <c r="H17" s="91">
        <f>G17*(1+H39)</f>
        <v>7878235.6434999984</v>
      </c>
      <c r="I17" s="91">
        <f>H17*(1+I39)</f>
        <v>8823623.9207199998</v>
      </c>
      <c r="J17" s="91">
        <f>I17*(1+J39)</f>
        <v>9794222.5519992001</v>
      </c>
      <c r="K17" s="91">
        <f>J17*(1+K39)</f>
        <v>10773644.807199121</v>
      </c>
    </row>
    <row r="18" spans="3:14" ht="15.75" customHeight="1">
      <c r="C18" t="s">
        <v>66</v>
      </c>
      <c r="D18" s="49">
        <v>-3927965</v>
      </c>
      <c r="E18" s="49">
        <v>-4483019</v>
      </c>
      <c r="F18" s="49">
        <f>-5165060</f>
        <v>-5165060</v>
      </c>
      <c r="G18" s="91">
        <f>G19-G17</f>
        <v>-5912162.6775999991</v>
      </c>
      <c r="H18" s="91">
        <f>H19-H17</f>
        <v>-6657109.1187574985</v>
      </c>
      <c r="I18" s="91">
        <f>I19-I17</f>
        <v>-7411844.0934047997</v>
      </c>
      <c r="J18" s="91">
        <f>J19-J17</f>
        <v>-8197764.2760233302</v>
      </c>
      <c r="K18" s="91">
        <f>K19-K17</f>
        <v>-8995993.4140112661</v>
      </c>
    </row>
    <row r="19" spans="3:14" ht="15.75" customHeight="1">
      <c r="C19" s="72" t="s">
        <v>67</v>
      </c>
      <c r="D19" s="98">
        <f>SUM(D17:D18)</f>
        <v>635319</v>
      </c>
      <c r="E19" s="98">
        <f>SUM(E17:E18)</f>
        <v>754142</v>
      </c>
      <c r="F19" s="98">
        <f>SUM(F17:F18)</f>
        <v>897453</v>
      </c>
      <c r="G19" s="102">
        <f>G17*G40</f>
        <v>1059727.2723999999</v>
      </c>
      <c r="H19" s="102">
        <f>H17*H40</f>
        <v>1221126.5247424997</v>
      </c>
      <c r="I19" s="102">
        <f>I17*I40</f>
        <v>1411779.8273151999</v>
      </c>
      <c r="J19" s="102">
        <f>J17*J40</f>
        <v>1596458.2759758697</v>
      </c>
      <c r="K19" s="102">
        <f>K17*K40</f>
        <v>1777651.3931878549</v>
      </c>
    </row>
    <row r="20" spans="3:14" ht="15.75" customHeight="1">
      <c r="C20" t="s">
        <v>68</v>
      </c>
      <c r="D20" s="49">
        <v>-93681</v>
      </c>
      <c r="E20" s="49">
        <v>-95457</v>
      </c>
      <c r="F20" s="49">
        <v>-98681</v>
      </c>
      <c r="G20" s="49">
        <v>-121400</v>
      </c>
      <c r="H20" s="49">
        <v>-111100</v>
      </c>
      <c r="I20" s="49">
        <v>-109600</v>
      </c>
      <c r="J20" s="49">
        <v>-106400</v>
      </c>
      <c r="K20" s="49">
        <v>-105400</v>
      </c>
      <c r="M20" t="s">
        <v>389</v>
      </c>
    </row>
    <row r="21" spans="3:14" ht="15.75" customHeight="1">
      <c r="C21" t="s">
        <v>70</v>
      </c>
      <c r="D21" s="49">
        <v>-202766</v>
      </c>
      <c r="E21" s="49">
        <v>-254092</v>
      </c>
      <c r="F21" s="49">
        <v>-247703</v>
      </c>
      <c r="G21" s="91">
        <f>-G17*G41</f>
        <v>-285847.48794999998</v>
      </c>
      <c r="H21" s="91">
        <f>-H17*H41</f>
        <v>-315129.42573999992</v>
      </c>
      <c r="I21" s="91">
        <f>-I17*I41</f>
        <v>-344121.33290808002</v>
      </c>
      <c r="J21" s="91">
        <f>-J17*J41</f>
        <v>-372180.4569759696</v>
      </c>
      <c r="K21" s="91">
        <f>-K17*K41</f>
        <v>-398624.85786636744</v>
      </c>
    </row>
    <row r="22" spans="3:14" ht="15.75" customHeight="1">
      <c r="C22" t="s">
        <v>71</v>
      </c>
      <c r="D22" s="49">
        <v>-1514</v>
      </c>
      <c r="E22" s="49">
        <v>-1374</v>
      </c>
      <c r="F22" s="49">
        <v>0</v>
      </c>
      <c r="G22" s="91">
        <f>F22</f>
        <v>0</v>
      </c>
      <c r="H22" s="91">
        <f>G22</f>
        <v>0</v>
      </c>
      <c r="I22" s="91">
        <f>H22</f>
        <v>0</v>
      </c>
      <c r="J22" s="91">
        <f>I22</f>
        <v>0</v>
      </c>
      <c r="K22" s="91">
        <f>J22</f>
        <v>0</v>
      </c>
    </row>
    <row r="23" spans="3:14" ht="15.75" customHeight="1">
      <c r="C23" s="72" t="s">
        <v>72</v>
      </c>
      <c r="D23" s="98">
        <f t="shared" ref="D23:K23" si="0">SUM(D19:D22)</f>
        <v>337358</v>
      </c>
      <c r="E23" s="98">
        <f t="shared" si="0"/>
        <v>403219</v>
      </c>
      <c r="F23" s="98">
        <f t="shared" si="0"/>
        <v>551069</v>
      </c>
      <c r="G23" s="102">
        <f t="shared" si="0"/>
        <v>652479.78444999992</v>
      </c>
      <c r="H23" s="102">
        <f t="shared" si="0"/>
        <v>794897.09900249983</v>
      </c>
      <c r="I23" s="102">
        <f t="shared" si="0"/>
        <v>958058.49440711993</v>
      </c>
      <c r="J23" s="102">
        <f t="shared" si="0"/>
        <v>1117877.8189999</v>
      </c>
      <c r="K23" s="102">
        <f t="shared" si="0"/>
        <v>1273626.5353214876</v>
      </c>
      <c r="M23" s="72"/>
    </row>
    <row r="24" spans="3:14" ht="15.75" customHeight="1">
      <c r="C24" t="s">
        <v>73</v>
      </c>
      <c r="D24" s="49">
        <v>0</v>
      </c>
      <c r="E24" s="49">
        <v>0</v>
      </c>
      <c r="F24" s="49">
        <v>0</v>
      </c>
      <c r="G24" s="91">
        <v>0</v>
      </c>
      <c r="H24" s="91">
        <v>0</v>
      </c>
      <c r="I24" s="91">
        <v>0</v>
      </c>
      <c r="J24" s="91">
        <v>0</v>
      </c>
      <c r="K24" s="91">
        <v>0</v>
      </c>
      <c r="M24" t="s">
        <v>390</v>
      </c>
    </row>
    <row r="25" spans="3:14" ht="15.75" customHeight="1">
      <c r="C25" t="s">
        <v>74</v>
      </c>
      <c r="D25" s="49">
        <v>-309645</v>
      </c>
      <c r="E25" s="49">
        <v>-282507</v>
      </c>
      <c r="F25" s="49">
        <v>-174217</v>
      </c>
      <c r="G25" s="91"/>
      <c r="H25" s="91"/>
      <c r="I25" s="91"/>
      <c r="J25" s="91"/>
      <c r="K25" s="91"/>
      <c r="M25" t="s">
        <v>391</v>
      </c>
    </row>
    <row r="26" spans="3:14" ht="15.75" customHeight="1">
      <c r="C26" t="s">
        <v>76</v>
      </c>
      <c r="D26" s="49">
        <v>-19921</v>
      </c>
      <c r="E26" s="49">
        <v>-23700</v>
      </c>
      <c r="F26" s="49">
        <v>0</v>
      </c>
      <c r="G26" s="91">
        <f t="shared" ref="G26:K27" si="1">F26</f>
        <v>0</v>
      </c>
      <c r="H26" s="91">
        <f t="shared" si="1"/>
        <v>0</v>
      </c>
      <c r="I26" s="91">
        <f t="shared" si="1"/>
        <v>0</v>
      </c>
      <c r="J26" s="91">
        <f t="shared" si="1"/>
        <v>0</v>
      </c>
      <c r="K26" s="91">
        <f t="shared" si="1"/>
        <v>0</v>
      </c>
    </row>
    <row r="27" spans="3:14" ht="15.75" customHeight="1">
      <c r="C27" t="s">
        <v>77</v>
      </c>
      <c r="D27" s="49">
        <v>-6182</v>
      </c>
      <c r="E27" s="49">
        <v>-15255</v>
      </c>
      <c r="F27" s="49">
        <v>0</v>
      </c>
      <c r="G27" s="91">
        <f t="shared" si="1"/>
        <v>0</v>
      </c>
      <c r="H27" s="91">
        <f t="shared" si="1"/>
        <v>0</v>
      </c>
      <c r="I27" s="91">
        <f t="shared" si="1"/>
        <v>0</v>
      </c>
      <c r="J27" s="91">
        <f t="shared" si="1"/>
        <v>0</v>
      </c>
      <c r="K27" s="91">
        <f t="shared" si="1"/>
        <v>0</v>
      </c>
    </row>
    <row r="28" spans="3:14" ht="15.75" customHeight="1">
      <c r="C28" t="s">
        <v>78</v>
      </c>
      <c r="D28" s="49">
        <v>3509</v>
      </c>
      <c r="E28" s="49">
        <v>0</v>
      </c>
      <c r="F28" s="49">
        <v>0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</row>
    <row r="29" spans="3:14" ht="15.75" customHeight="1">
      <c r="C29" s="72" t="s">
        <v>79</v>
      </c>
      <c r="D29" s="98">
        <f t="shared" ref="D29:K29" si="2">SUM(D23:D28)</f>
        <v>5119</v>
      </c>
      <c r="E29" s="98">
        <f t="shared" si="2"/>
        <v>81757</v>
      </c>
      <c r="F29" s="98">
        <f t="shared" si="2"/>
        <v>376852</v>
      </c>
      <c r="G29" s="102">
        <f t="shared" si="2"/>
        <v>652479.78444999992</v>
      </c>
      <c r="H29" s="102">
        <f t="shared" si="2"/>
        <v>794897.09900249983</v>
      </c>
      <c r="I29" s="102">
        <f t="shared" si="2"/>
        <v>958058.49440711993</v>
      </c>
      <c r="J29" s="102">
        <f t="shared" si="2"/>
        <v>1117877.8189999</v>
      </c>
      <c r="K29" s="102">
        <f t="shared" si="2"/>
        <v>1273626.5353214876</v>
      </c>
      <c r="M29" s="72"/>
      <c r="N29" s="72"/>
    </row>
    <row r="30" spans="3:14" ht="15.75" customHeight="1">
      <c r="C30" t="s">
        <v>80</v>
      </c>
      <c r="D30" s="49">
        <v>-40180</v>
      </c>
      <c r="E30" s="49">
        <f>-70783</f>
        <v>-70783</v>
      </c>
      <c r="F30" s="49">
        <v>-99435</v>
      </c>
      <c r="G30" s="91">
        <f>-G29*G42</f>
        <v>-163119.94611249998</v>
      </c>
      <c r="H30" s="91">
        <f>-H29*H42</f>
        <v>-198724.27475062496</v>
      </c>
      <c r="I30" s="91">
        <f>-I29*I42</f>
        <v>-239514.62360177998</v>
      </c>
      <c r="J30" s="91">
        <f>-J29*J42</f>
        <v>-279469.454749975</v>
      </c>
      <c r="K30" s="91">
        <f>-K29*K42</f>
        <v>-318406.63383037189</v>
      </c>
    </row>
    <row r="31" spans="3:14" ht="15.75" customHeight="1">
      <c r="C31" s="72" t="s">
        <v>81</v>
      </c>
      <c r="D31" s="98">
        <f t="shared" ref="D31:K31" si="3">SUM(D29:D30)</f>
        <v>-35061</v>
      </c>
      <c r="E31" s="98">
        <f t="shared" si="3"/>
        <v>10974</v>
      </c>
      <c r="F31" s="98">
        <f t="shared" si="3"/>
        <v>277417</v>
      </c>
      <c r="G31" s="102">
        <f t="shared" si="3"/>
        <v>489359.83833749994</v>
      </c>
      <c r="H31" s="102">
        <f t="shared" si="3"/>
        <v>596172.82425187482</v>
      </c>
      <c r="I31" s="102">
        <f t="shared" si="3"/>
        <v>718543.87080533989</v>
      </c>
      <c r="J31" s="102">
        <f t="shared" si="3"/>
        <v>838408.36424992501</v>
      </c>
      <c r="K31" s="102">
        <f t="shared" si="3"/>
        <v>955219.90149111568</v>
      </c>
      <c r="M31" s="72"/>
    </row>
    <row r="32" spans="3:14" ht="15.75" customHeight="1">
      <c r="C32" s="44"/>
      <c r="D32" s="91"/>
      <c r="E32" s="91"/>
      <c r="F32" s="91"/>
      <c r="G32" s="91"/>
      <c r="H32" s="91"/>
      <c r="I32" s="91"/>
      <c r="J32" s="91"/>
      <c r="K32" s="91"/>
    </row>
    <row r="33" spans="3:15" ht="15.75" customHeight="1">
      <c r="C33" s="95" t="s">
        <v>82</v>
      </c>
      <c r="D33" s="49">
        <v>197104</v>
      </c>
      <c r="E33" s="49">
        <v>187080</v>
      </c>
      <c r="F33" s="49">
        <v>193664</v>
      </c>
      <c r="G33" s="91">
        <f>G132</f>
        <v>216229.61165048543</v>
      </c>
      <c r="H33" s="91">
        <f>H132</f>
        <v>214550.48543689318</v>
      </c>
      <c r="I33" s="91">
        <f>I132</f>
        <v>217360.92233009706</v>
      </c>
      <c r="J33" s="91">
        <f>J132</f>
        <v>218471.35922330097</v>
      </c>
      <c r="K33" s="91">
        <f>K132</f>
        <v>217471.35922330097</v>
      </c>
    </row>
    <row r="34" spans="3:15" ht="15.75" customHeight="1">
      <c r="C34" s="97" t="s">
        <v>83</v>
      </c>
      <c r="D34" s="98">
        <f t="shared" ref="D34:K34" si="4">D23+D33</f>
        <v>534462</v>
      </c>
      <c r="E34" s="98">
        <f t="shared" si="4"/>
        <v>590299</v>
      </c>
      <c r="F34" s="98">
        <f t="shared" si="4"/>
        <v>744733</v>
      </c>
      <c r="G34" s="102">
        <f t="shared" si="4"/>
        <v>868709.39610048535</v>
      </c>
      <c r="H34" s="102">
        <f t="shared" si="4"/>
        <v>1009447.584439393</v>
      </c>
      <c r="I34" s="102">
        <f t="shared" si="4"/>
        <v>1175419.416737217</v>
      </c>
      <c r="J34" s="102">
        <f t="shared" si="4"/>
        <v>1336349.1782232011</v>
      </c>
      <c r="K34" s="102">
        <f t="shared" si="4"/>
        <v>1491097.8945447886</v>
      </c>
      <c r="M34" s="72"/>
    </row>
    <row r="35" spans="3:15" ht="15.75" customHeight="1">
      <c r="C35" s="95" t="s">
        <v>85</v>
      </c>
      <c r="D35" s="49">
        <v>-6182</v>
      </c>
      <c r="E35" s="49">
        <v>-15255</v>
      </c>
      <c r="F35" s="49">
        <v>0</v>
      </c>
      <c r="G35" s="91">
        <v>0</v>
      </c>
      <c r="H35" s="91">
        <v>0</v>
      </c>
      <c r="I35" s="91">
        <v>0</v>
      </c>
      <c r="J35" s="91">
        <v>0</v>
      </c>
      <c r="K35" s="91">
        <v>0</v>
      </c>
    </row>
    <row r="36" spans="3:15" ht="15.75" customHeight="1">
      <c r="C36" s="97" t="s">
        <v>385</v>
      </c>
      <c r="D36" s="98">
        <f t="shared" ref="D36:K36" si="5">D34+D35</f>
        <v>528280</v>
      </c>
      <c r="E36" s="98">
        <f t="shared" si="5"/>
        <v>575044</v>
      </c>
      <c r="F36" s="98">
        <f t="shared" si="5"/>
        <v>744733</v>
      </c>
      <c r="G36" s="102">
        <f t="shared" si="5"/>
        <v>868709.39610048535</v>
      </c>
      <c r="H36" s="102">
        <f t="shared" si="5"/>
        <v>1009447.584439393</v>
      </c>
      <c r="I36" s="102">
        <f t="shared" si="5"/>
        <v>1175419.416737217</v>
      </c>
      <c r="J36" s="102">
        <f t="shared" si="5"/>
        <v>1336349.1782232011</v>
      </c>
      <c r="K36" s="102">
        <f t="shared" si="5"/>
        <v>1491097.8945447886</v>
      </c>
      <c r="M36" s="72"/>
    </row>
    <row r="37" spans="3:15" ht="15.75" customHeight="1">
      <c r="C37" s="44"/>
      <c r="G37" s="294"/>
    </row>
    <row r="38" spans="3:15" ht="15.75" customHeight="1">
      <c r="C38" s="26" t="s">
        <v>21</v>
      </c>
    </row>
    <row r="39" spans="3:15" ht="15.75" customHeight="1">
      <c r="C39" s="44" t="s">
        <v>24</v>
      </c>
      <c r="D39" s="42"/>
      <c r="E39" s="42">
        <f>(E17-D17)/D17</f>
        <v>0.14767369289310067</v>
      </c>
      <c r="F39" s="42">
        <f>(F17-E17)/E17</f>
        <v>0.15759530783949549</v>
      </c>
      <c r="G39" s="43">
        <v>0.15</v>
      </c>
      <c r="H39" s="43">
        <v>0.13</v>
      </c>
      <c r="I39" s="43">
        <v>0.12</v>
      </c>
      <c r="J39" s="43">
        <v>0.11</v>
      </c>
      <c r="K39" s="43">
        <v>0.1</v>
      </c>
      <c r="M39" t="s">
        <v>25</v>
      </c>
      <c r="O39" s="43"/>
    </row>
    <row r="40" spans="3:15" ht="15.75" customHeight="1">
      <c r="C40" s="44" t="s">
        <v>32</v>
      </c>
      <c r="D40" s="42">
        <f>D19/D17</f>
        <v>0.13922407634501818</v>
      </c>
      <c r="E40" s="42">
        <f>E19/E17</f>
        <v>0.14399824637814265</v>
      </c>
      <c r="F40" s="42">
        <f>F19/F17</f>
        <v>0.14803316710413653</v>
      </c>
      <c r="G40" s="43">
        <v>0.152</v>
      </c>
      <c r="H40" s="43">
        <v>0.155</v>
      </c>
      <c r="I40" s="43">
        <v>0.16</v>
      </c>
      <c r="J40" s="43">
        <v>0.16300000000000001</v>
      </c>
      <c r="K40" s="43">
        <v>0.16500000000000001</v>
      </c>
      <c r="M40" t="s">
        <v>33</v>
      </c>
      <c r="O40" s="43"/>
    </row>
    <row r="41" spans="3:15" ht="15.75" customHeight="1">
      <c r="C41" s="44" t="s">
        <v>36</v>
      </c>
      <c r="D41" s="42">
        <f>-D21/D17</f>
        <v>4.4434227630802729E-2</v>
      </c>
      <c r="E41" s="42">
        <f>-E21/E17</f>
        <v>4.8517125977223158E-2</v>
      </c>
      <c r="F41" s="42">
        <f>-F21/F17</f>
        <v>4.0858139190794313E-2</v>
      </c>
      <c r="G41" s="43">
        <v>4.1000000000000002E-2</v>
      </c>
      <c r="H41" s="43">
        <v>0.04</v>
      </c>
      <c r="I41" s="43">
        <v>3.9E-2</v>
      </c>
      <c r="J41" s="43">
        <v>3.7999999999999999E-2</v>
      </c>
      <c r="K41" s="43">
        <v>3.6999999999999998E-2</v>
      </c>
      <c r="M41" t="s">
        <v>37</v>
      </c>
      <c r="O41" s="43"/>
    </row>
    <row r="42" spans="3:15" ht="15.75" customHeight="1">
      <c r="C42" s="44" t="s">
        <v>40</v>
      </c>
      <c r="D42" s="42">
        <f>-D30/D29</f>
        <v>7.8491892947841375</v>
      </c>
      <c r="E42" s="42">
        <f>-E30/E29</f>
        <v>0.86577296133664394</v>
      </c>
      <c r="F42" s="42">
        <f>-F30/F29</f>
        <v>0.26385689872947471</v>
      </c>
      <c r="G42" s="43">
        <v>0.25</v>
      </c>
      <c r="H42" s="43">
        <v>0.25</v>
      </c>
      <c r="I42" s="43">
        <v>0.25</v>
      </c>
      <c r="J42" s="43">
        <v>0.25</v>
      </c>
      <c r="K42" s="43">
        <v>0.25</v>
      </c>
      <c r="M42" t="s">
        <v>388</v>
      </c>
      <c r="O42" s="43"/>
    </row>
    <row r="43" spans="3:15" ht="15.75" customHeight="1">
      <c r="C43" s="44"/>
      <c r="G43" s="294"/>
    </row>
    <row r="44" spans="3:15" ht="15.75" customHeight="1">
      <c r="C44" s="57" t="s">
        <v>97</v>
      </c>
      <c r="D44" s="31"/>
      <c r="E44" s="31"/>
      <c r="F44" s="31"/>
      <c r="G44" s="6"/>
      <c r="H44" s="6"/>
      <c r="I44" s="6"/>
      <c r="J44" s="6"/>
      <c r="K44" s="6"/>
    </row>
    <row r="45" spans="3:15" ht="15.75" customHeight="1">
      <c r="C45" s="79" t="str">
        <f>C14</f>
        <v xml:space="preserve">Fiscal year  </v>
      </c>
      <c r="D45" s="81"/>
      <c r="E45" s="81">
        <f t="shared" ref="E45:K46" si="6">E14</f>
        <v>2024</v>
      </c>
      <c r="F45" s="81">
        <f t="shared" si="6"/>
        <v>2025</v>
      </c>
      <c r="G45" s="83">
        <f t="shared" si="6"/>
        <v>2026</v>
      </c>
      <c r="H45" s="83">
        <f t="shared" si="6"/>
        <v>2027</v>
      </c>
      <c r="I45" s="83">
        <f t="shared" si="6"/>
        <v>2028</v>
      </c>
      <c r="J45" s="83">
        <f t="shared" si="6"/>
        <v>2029</v>
      </c>
      <c r="K45" s="83">
        <f t="shared" si="6"/>
        <v>2030</v>
      </c>
    </row>
    <row r="46" spans="3:15" ht="15.75" customHeight="1">
      <c r="C46" s="6" t="str">
        <f>C15</f>
        <v>Fiscal year end date</v>
      </c>
      <c r="D46" s="85"/>
      <c r="E46" s="85">
        <f t="shared" si="6"/>
        <v>45657</v>
      </c>
      <c r="F46" s="85">
        <f t="shared" si="6"/>
        <v>46022</v>
      </c>
      <c r="G46" s="85">
        <f t="shared" si="6"/>
        <v>46387</v>
      </c>
      <c r="H46" s="85">
        <f t="shared" si="6"/>
        <v>46752</v>
      </c>
      <c r="I46" s="85">
        <f t="shared" si="6"/>
        <v>47118</v>
      </c>
      <c r="J46" s="85">
        <f t="shared" si="6"/>
        <v>47483</v>
      </c>
      <c r="K46" s="85">
        <f t="shared" si="6"/>
        <v>47848</v>
      </c>
    </row>
    <row r="47" spans="3:15" ht="15.75" customHeight="1">
      <c r="C47" s="25" t="s">
        <v>99</v>
      </c>
      <c r="D47" s="86"/>
      <c r="E47" s="86"/>
      <c r="F47" s="86"/>
      <c r="G47" s="86"/>
      <c r="H47" s="86"/>
      <c r="I47" s="86"/>
      <c r="J47" s="86"/>
      <c r="K47" s="86"/>
    </row>
    <row r="48" spans="3:15" ht="15.75" customHeight="1">
      <c r="C48" s="25" t="s">
        <v>100</v>
      </c>
      <c r="D48" s="86"/>
      <c r="E48" s="86"/>
      <c r="F48" s="86"/>
      <c r="G48" s="86"/>
      <c r="H48" s="86"/>
      <c r="I48" s="86"/>
      <c r="J48" s="86"/>
      <c r="K48" s="86"/>
    </row>
    <row r="49" spans="3:11" ht="15.75" customHeight="1">
      <c r="C49" s="89" t="s">
        <v>101</v>
      </c>
      <c r="D49" s="49"/>
      <c r="E49" s="49">
        <v>102581</v>
      </c>
      <c r="F49" s="49">
        <v>289717</v>
      </c>
      <c r="G49" s="91">
        <f>F49+G116</f>
        <v>100000</v>
      </c>
      <c r="H49" s="91">
        <f>G49+H116</f>
        <v>100000</v>
      </c>
      <c r="I49" s="91">
        <f>H49+I116</f>
        <v>100000</v>
      </c>
      <c r="J49" s="91">
        <f>I49+J116</f>
        <v>100000</v>
      </c>
      <c r="K49" s="91">
        <f>J49+K116</f>
        <v>100000</v>
      </c>
    </row>
    <row r="50" spans="3:11" ht="15.75" customHeight="1">
      <c r="C50" s="89" t="s">
        <v>102</v>
      </c>
      <c r="D50" s="49"/>
      <c r="E50" s="49">
        <v>580668</v>
      </c>
      <c r="F50" s="49">
        <v>654390</v>
      </c>
      <c r="G50" s="91">
        <f>F50*(1+G39)</f>
        <v>752548.5</v>
      </c>
      <c r="H50" s="91">
        <f>G50*(1+H39)</f>
        <v>850379.80499999993</v>
      </c>
      <c r="I50" s="91">
        <f>H50*(1+I39)</f>
        <v>952425.38159999996</v>
      </c>
      <c r="J50" s="91">
        <f>I50*(1+J39)</f>
        <v>1057192.1735760001</v>
      </c>
      <c r="K50" s="91">
        <f>J50*(1+K39)</f>
        <v>1162911.3909336003</v>
      </c>
    </row>
    <row r="51" spans="3:11" ht="15.75" customHeight="1">
      <c r="C51" s="89" t="s">
        <v>103</v>
      </c>
      <c r="D51" s="49"/>
      <c r="E51" s="49">
        <v>915200</v>
      </c>
      <c r="F51" s="49">
        <v>1071703</v>
      </c>
      <c r="G51" s="91">
        <f>F51*(1+G39)</f>
        <v>1232458.45</v>
      </c>
      <c r="H51" s="91">
        <f>G51*(1+H39)</f>
        <v>1392678.0484999998</v>
      </c>
      <c r="I51" s="91">
        <f>H51*(1+I39)</f>
        <v>1559799.41432</v>
      </c>
      <c r="J51" s="91">
        <f>I51*(1+J39)</f>
        <v>1731377.3498952002</v>
      </c>
      <c r="K51" s="91">
        <f>J51*(1+K39)</f>
        <v>1904515.0848847204</v>
      </c>
    </row>
    <row r="52" spans="3:11" ht="15.75" customHeight="1">
      <c r="C52" s="89" t="s">
        <v>104</v>
      </c>
      <c r="D52" s="49"/>
      <c r="E52" s="49">
        <v>847018</v>
      </c>
      <c r="F52" s="49">
        <v>827691</v>
      </c>
      <c r="G52" s="91">
        <f>F52*(1+((G18-F18)/F18))</f>
        <v>947412.77715755883</v>
      </c>
      <c r="H52" s="91">
        <f>G52*(1+((H18-G18)/G18))</f>
        <v>1066789.0215435082</v>
      </c>
      <c r="I52" s="91">
        <f>H52*(1+((I18-H18)/H18))</f>
        <v>1187733.8597256008</v>
      </c>
      <c r="J52" s="91">
        <f>I52*(1+((J18-I18)/I18))</f>
        <v>1313676.0679229333</v>
      </c>
      <c r="K52" s="91">
        <f>J52*(1+((K18-J18)/J18))</f>
        <v>1441590.7627087389</v>
      </c>
    </row>
    <row r="53" spans="3:11" ht="15.75" customHeight="1">
      <c r="C53" s="89" t="s">
        <v>105</v>
      </c>
      <c r="D53" s="49"/>
      <c r="E53" s="49">
        <v>29707</v>
      </c>
      <c r="F53" s="49">
        <v>42776</v>
      </c>
      <c r="G53" s="91">
        <f>F53*(1+G39)</f>
        <v>49192.399999999994</v>
      </c>
      <c r="H53" s="91">
        <f>G53*(1+H39)</f>
        <v>55587.411999999989</v>
      </c>
      <c r="I53" s="91">
        <f>H53*(1+I39)</f>
        <v>62257.901439999994</v>
      </c>
      <c r="J53" s="91">
        <f>I53*(1+J39)</f>
        <v>69106.270598400006</v>
      </c>
      <c r="K53" s="91">
        <f>J53*(1+K39)</f>
        <v>76016.897658240006</v>
      </c>
    </row>
    <row r="54" spans="3:11" ht="15.75" customHeight="1">
      <c r="C54" s="89" t="s">
        <v>106</v>
      </c>
      <c r="D54" s="49"/>
      <c r="E54" s="49">
        <v>9960</v>
      </c>
      <c r="F54" s="49">
        <v>10182</v>
      </c>
      <c r="G54" s="91">
        <f>F54</f>
        <v>10182</v>
      </c>
      <c r="H54" s="91">
        <f>G54</f>
        <v>10182</v>
      </c>
      <c r="I54" s="91">
        <f>H54</f>
        <v>10182</v>
      </c>
      <c r="J54" s="91">
        <f>I54</f>
        <v>10182</v>
      </c>
      <c r="K54" s="91">
        <f>J54</f>
        <v>10182</v>
      </c>
    </row>
    <row r="55" spans="3:11" ht="15.75" customHeight="1">
      <c r="C55" s="93" t="s">
        <v>107</v>
      </c>
      <c r="D55" s="49"/>
      <c r="E55" s="98">
        <f t="shared" ref="E55:K55" si="7">SUM(E49:E54)</f>
        <v>2485134</v>
      </c>
      <c r="F55" s="98">
        <f t="shared" si="7"/>
        <v>2896459</v>
      </c>
      <c r="G55" s="98">
        <f t="shared" si="7"/>
        <v>3091794.1271575587</v>
      </c>
      <c r="H55" s="98">
        <f t="shared" si="7"/>
        <v>3475616.2870435077</v>
      </c>
      <c r="I55" s="98">
        <f t="shared" si="7"/>
        <v>3872398.5570856007</v>
      </c>
      <c r="J55" s="98">
        <f t="shared" si="7"/>
        <v>4281533.8619925343</v>
      </c>
      <c r="K55" s="98">
        <f t="shared" si="7"/>
        <v>4695216.1361852996</v>
      </c>
    </row>
    <row r="56" spans="3:11" ht="15.75" customHeight="1">
      <c r="C56" t="s">
        <v>108</v>
      </c>
      <c r="D56" s="49"/>
      <c r="E56" s="49">
        <v>568607</v>
      </c>
      <c r="F56" s="49">
        <v>579971</v>
      </c>
      <c r="G56" s="91">
        <f>G125</f>
        <v>595141.38834951457</v>
      </c>
      <c r="H56" s="91">
        <f>H125</f>
        <v>611690.90291262139</v>
      </c>
      <c r="I56" s="91">
        <f>I125</f>
        <v>628929.98058252432</v>
      </c>
      <c r="J56" s="91">
        <f>J125</f>
        <v>646858.62135922338</v>
      </c>
      <c r="K56" s="91">
        <f>K125</f>
        <v>664787.26213592244</v>
      </c>
    </row>
    <row r="57" spans="3:11" ht="15.75" customHeight="1">
      <c r="C57" s="95" t="s">
        <v>109</v>
      </c>
      <c r="D57" s="49"/>
      <c r="E57" s="49">
        <v>172206</v>
      </c>
      <c r="F57" s="49">
        <v>222151</v>
      </c>
      <c r="G57" s="91">
        <f>F57</f>
        <v>222151</v>
      </c>
      <c r="H57" s="91">
        <f>G57</f>
        <v>222151</v>
      </c>
      <c r="I57" s="91">
        <f>H57</f>
        <v>222151</v>
      </c>
      <c r="J57" s="91">
        <f>I57</f>
        <v>222151</v>
      </c>
      <c r="K57" s="91">
        <f>J57</f>
        <v>222151</v>
      </c>
    </row>
    <row r="58" spans="3:11" ht="15.75" customHeight="1">
      <c r="C58" s="95" t="s">
        <v>110</v>
      </c>
      <c r="D58" s="49"/>
      <c r="E58" s="49">
        <v>1004701</v>
      </c>
      <c r="F58" s="49">
        <v>920432</v>
      </c>
      <c r="G58" s="91">
        <f>F58+G20*64%</f>
        <v>842736</v>
      </c>
      <c r="H58" s="91">
        <f>G58+H20*64%</f>
        <v>771632</v>
      </c>
      <c r="I58" s="91">
        <f>H58+I20*64%</f>
        <v>701488</v>
      </c>
      <c r="J58" s="91">
        <f>I58+J20*64%</f>
        <v>633392</v>
      </c>
      <c r="K58" s="91">
        <f>J58+K20*64%</f>
        <v>565936</v>
      </c>
    </row>
    <row r="59" spans="3:11" ht="15.75" customHeight="1">
      <c r="C59" s="95" t="s">
        <v>112</v>
      </c>
      <c r="D59" s="49"/>
      <c r="E59" s="49">
        <v>291487</v>
      </c>
      <c r="F59" s="49">
        <v>244877</v>
      </c>
      <c r="G59" s="91">
        <f>F59+G20*36%</f>
        <v>201173</v>
      </c>
      <c r="H59" s="91">
        <f>G59+H20*36%</f>
        <v>161177</v>
      </c>
      <c r="I59" s="91">
        <f>H59+I20*36%</f>
        <v>121721</v>
      </c>
      <c r="J59" s="91">
        <f>I59+J20*36%</f>
        <v>83417</v>
      </c>
      <c r="K59" s="91">
        <f>J59+K20*36%</f>
        <v>45473</v>
      </c>
    </row>
    <row r="60" spans="3:11" ht="15.75" customHeight="1">
      <c r="C60" s="95" t="s">
        <v>114</v>
      </c>
      <c r="D60" s="49"/>
      <c r="E60" s="49">
        <v>1685970</v>
      </c>
      <c r="F60" s="49">
        <v>1684255</v>
      </c>
      <c r="G60" s="91">
        <f t="shared" ref="G60:K61" si="8">F60</f>
        <v>1684255</v>
      </c>
      <c r="H60" s="91">
        <f t="shared" si="8"/>
        <v>1684255</v>
      </c>
      <c r="I60" s="91">
        <f t="shared" si="8"/>
        <v>1684255</v>
      </c>
      <c r="J60" s="91">
        <f t="shared" si="8"/>
        <v>1684255</v>
      </c>
      <c r="K60" s="91">
        <f t="shared" si="8"/>
        <v>1684255</v>
      </c>
    </row>
    <row r="61" spans="3:11" ht="15.75" customHeight="1">
      <c r="C61" s="95" t="s">
        <v>116</v>
      </c>
      <c r="D61" s="49"/>
      <c r="E61" s="49">
        <v>1079</v>
      </c>
      <c r="F61" s="49">
        <v>2832</v>
      </c>
      <c r="G61" s="91">
        <f t="shared" si="8"/>
        <v>2832</v>
      </c>
      <c r="H61" s="91">
        <f t="shared" si="8"/>
        <v>2832</v>
      </c>
      <c r="I61" s="91">
        <f t="shared" si="8"/>
        <v>2832</v>
      </c>
      <c r="J61" s="91">
        <f t="shared" si="8"/>
        <v>2832</v>
      </c>
      <c r="K61" s="91">
        <f t="shared" si="8"/>
        <v>2832</v>
      </c>
    </row>
    <row r="62" spans="3:11" ht="15.75" customHeight="1">
      <c r="C62" t="s">
        <v>117</v>
      </c>
      <c r="D62" s="49"/>
      <c r="E62" s="49">
        <v>4417</v>
      </c>
      <c r="F62" s="49">
        <v>6434</v>
      </c>
      <c r="G62" s="91">
        <f>F62*(1+G39)</f>
        <v>7399.0999999999995</v>
      </c>
      <c r="H62" s="91">
        <f>G62*(1+H39)</f>
        <v>8360.9829999999984</v>
      </c>
      <c r="I62" s="91">
        <f>H62*(1+I39)</f>
        <v>9364.3009599999987</v>
      </c>
      <c r="J62" s="91">
        <f>I62*(1+J39)</f>
        <v>10394.374065599999</v>
      </c>
      <c r="K62" s="91">
        <f>J62*(1+K39)</f>
        <v>11433.81147216</v>
      </c>
    </row>
    <row r="63" spans="3:11" ht="15.75" customHeight="1">
      <c r="C63" s="97" t="s">
        <v>118</v>
      </c>
      <c r="D63" s="98"/>
      <c r="E63" s="98">
        <f t="shared" ref="E63:K63" si="9">SUM(E55:E62)</f>
        <v>6213601</v>
      </c>
      <c r="F63" s="98">
        <f t="shared" si="9"/>
        <v>6557411</v>
      </c>
      <c r="G63" s="98">
        <f t="shared" si="9"/>
        <v>6647481.6155070728</v>
      </c>
      <c r="H63" s="98">
        <f t="shared" si="9"/>
        <v>6937715.1729561286</v>
      </c>
      <c r="I63" s="98">
        <f t="shared" si="9"/>
        <v>7243139.8386281244</v>
      </c>
      <c r="J63" s="98">
        <f t="shared" si="9"/>
        <v>7564833.8574173581</v>
      </c>
      <c r="K63" s="98">
        <f t="shared" si="9"/>
        <v>7892084.2097933823</v>
      </c>
    </row>
    <row r="64" spans="3:11" ht="15.75" customHeight="1">
      <c r="C64" s="74" t="s">
        <v>119</v>
      </c>
      <c r="D64" s="91"/>
      <c r="G64" s="91"/>
      <c r="H64" s="91"/>
      <c r="I64" s="91"/>
      <c r="J64" s="91"/>
      <c r="K64" s="91"/>
    </row>
    <row r="65" spans="3:11" ht="15.75" customHeight="1">
      <c r="C65" s="74" t="s">
        <v>120</v>
      </c>
      <c r="D65" s="91"/>
      <c r="G65" s="91"/>
      <c r="H65" s="91"/>
      <c r="I65" s="91"/>
      <c r="J65" s="91"/>
      <c r="K65" s="91"/>
    </row>
    <row r="66" spans="3:11" ht="15.75" customHeight="1">
      <c r="C66" s="89" t="s">
        <v>121</v>
      </c>
      <c r="D66" s="49"/>
      <c r="E66" s="49">
        <v>645701</v>
      </c>
      <c r="F66" s="49">
        <v>679772</v>
      </c>
      <c r="G66" s="91">
        <f>F66*(1+(G18-F18)/F18)</f>
        <v>778097.9596902082</v>
      </c>
      <c r="H66" s="91">
        <f>G66*(1+(H18-G18)/G18)</f>
        <v>876140.13774787169</v>
      </c>
      <c r="I66" s="91">
        <f>H66*(1+(I18-H18)/H18)</f>
        <v>975470.58176709816</v>
      </c>
      <c r="J66" s="91">
        <f>I66*(1+(J18-I18)/I18)</f>
        <v>1078905.3016694735</v>
      </c>
      <c r="K66" s="91">
        <f>J66*(1+(K18-J18)/J18)</f>
        <v>1183959.9995022838</v>
      </c>
    </row>
    <row r="67" spans="3:11" ht="15.75" customHeight="1">
      <c r="C67" s="89" t="s">
        <v>122</v>
      </c>
      <c r="D67" s="49"/>
      <c r="E67" s="49">
        <v>99572</v>
      </c>
      <c r="F67" s="49">
        <v>91499</v>
      </c>
      <c r="G67" s="91">
        <f>F67*(1+G39)</f>
        <v>105223.84999999999</v>
      </c>
      <c r="H67" s="91">
        <f>G67*(1+H39)</f>
        <v>118902.95049999998</v>
      </c>
      <c r="I67" s="91">
        <f>H67*(1+I39)</f>
        <v>133171.30455999999</v>
      </c>
      <c r="J67" s="91">
        <f>I67*(1+J39)</f>
        <v>147820.14806159999</v>
      </c>
      <c r="K67" s="91">
        <f>J67*(1+K39)</f>
        <v>162602.16286775999</v>
      </c>
    </row>
    <row r="68" spans="3:11" ht="15.75" customHeight="1">
      <c r="C68" s="89" t="s">
        <v>123</v>
      </c>
      <c r="D68" s="49"/>
      <c r="E68" s="49">
        <v>79134</v>
      </c>
      <c r="F68" s="49">
        <v>74008</v>
      </c>
      <c r="G68" s="91">
        <f>F68*(1+G39)</f>
        <v>85109.2</v>
      </c>
      <c r="H68" s="91">
        <f>G68*(1+H39)</f>
        <v>96173.395999999993</v>
      </c>
      <c r="I68" s="91">
        <f>H68*(1+I39)</f>
        <v>107714.20352000001</v>
      </c>
      <c r="J68" s="91">
        <f>I68*(1+J39)</f>
        <v>119562.76590720002</v>
      </c>
      <c r="K68" s="91">
        <f>J68*(1+K39)</f>
        <v>131519.04249792005</v>
      </c>
    </row>
    <row r="69" spans="3:11" ht="15.75" customHeight="1">
      <c r="C69" s="89" t="s">
        <v>124</v>
      </c>
      <c r="D69" s="49"/>
      <c r="E69" s="49">
        <v>17663</v>
      </c>
      <c r="F69" s="49">
        <v>22308</v>
      </c>
      <c r="G69" s="91">
        <f t="shared" ref="G69:K70" si="10">F69</f>
        <v>22308</v>
      </c>
      <c r="H69" s="91">
        <f t="shared" si="10"/>
        <v>22308</v>
      </c>
      <c r="I69" s="91">
        <f t="shared" si="10"/>
        <v>22308</v>
      </c>
      <c r="J69" s="91">
        <f t="shared" si="10"/>
        <v>22308</v>
      </c>
      <c r="K69" s="91">
        <f t="shared" si="10"/>
        <v>22308</v>
      </c>
    </row>
    <row r="70" spans="3:11" ht="15.75" customHeight="1">
      <c r="C70" s="89" t="s">
        <v>125</v>
      </c>
      <c r="D70" s="49"/>
      <c r="E70" s="49">
        <v>1345</v>
      </c>
      <c r="F70" s="49">
        <v>438</v>
      </c>
      <c r="G70" s="91">
        <f t="shared" si="10"/>
        <v>438</v>
      </c>
      <c r="H70" s="91">
        <f t="shared" si="10"/>
        <v>438</v>
      </c>
      <c r="I70" s="91">
        <f t="shared" si="10"/>
        <v>438</v>
      </c>
      <c r="J70" s="91">
        <f t="shared" si="10"/>
        <v>438</v>
      </c>
      <c r="K70" s="91">
        <f t="shared" si="10"/>
        <v>438</v>
      </c>
    </row>
    <row r="71" spans="3:11" ht="15.75" customHeight="1">
      <c r="C71" s="89" t="s">
        <v>126</v>
      </c>
      <c r="D71" s="49"/>
      <c r="E71" s="49">
        <v>400025</v>
      </c>
      <c r="F71" s="49">
        <v>411321</v>
      </c>
      <c r="G71" s="91">
        <f>F71*(1+G39)</f>
        <v>473019.14999999997</v>
      </c>
      <c r="H71" s="91">
        <f>G71*(1+H39)</f>
        <v>534511.63949999993</v>
      </c>
      <c r="I71" s="91">
        <f>H71*(1+I39)</f>
        <v>598653.03623999993</v>
      </c>
      <c r="J71" s="91">
        <f>I71*(1+J39)</f>
        <v>664504.87022639997</v>
      </c>
      <c r="K71" s="91">
        <f>J71*(1+K39)</f>
        <v>730955.35724904004</v>
      </c>
    </row>
    <row r="72" spans="3:11" ht="15.75" customHeight="1">
      <c r="C72" s="89" t="s">
        <v>127</v>
      </c>
      <c r="D72" s="49"/>
      <c r="E72" s="49">
        <v>6655</v>
      </c>
      <c r="F72" s="49">
        <v>13547</v>
      </c>
      <c r="G72" s="91">
        <f t="shared" ref="G72:K73" si="11">F72</f>
        <v>13547</v>
      </c>
      <c r="H72" s="91">
        <f t="shared" si="11"/>
        <v>13547</v>
      </c>
      <c r="I72" s="91">
        <f t="shared" si="11"/>
        <v>13547</v>
      </c>
      <c r="J72" s="91">
        <f t="shared" si="11"/>
        <v>13547</v>
      </c>
      <c r="K72" s="91">
        <f t="shared" si="11"/>
        <v>13547</v>
      </c>
    </row>
    <row r="73" spans="3:11" ht="15.75" customHeight="1">
      <c r="C73" s="89" t="s">
        <v>128</v>
      </c>
      <c r="D73" s="49"/>
      <c r="E73" s="49">
        <v>23449</v>
      </c>
      <c r="F73" s="49">
        <v>23444</v>
      </c>
      <c r="G73" s="91">
        <f t="shared" si="11"/>
        <v>23444</v>
      </c>
      <c r="H73" s="91">
        <f t="shared" si="11"/>
        <v>23444</v>
      </c>
      <c r="I73" s="91">
        <f t="shared" si="11"/>
        <v>23444</v>
      </c>
      <c r="J73" s="91">
        <f t="shared" si="11"/>
        <v>23444</v>
      </c>
      <c r="K73" s="91">
        <f t="shared" si="11"/>
        <v>23444</v>
      </c>
    </row>
    <row r="74" spans="3:11" ht="15.75" customHeight="1">
      <c r="C74" s="93" t="s">
        <v>130</v>
      </c>
      <c r="D74" s="49"/>
      <c r="E74" s="98">
        <f t="shared" ref="E74:K74" si="12">SUM(E66:E73)</f>
        <v>1273544</v>
      </c>
      <c r="F74" s="98">
        <f t="shared" si="12"/>
        <v>1316337</v>
      </c>
      <c r="G74" s="98">
        <f t="shared" si="12"/>
        <v>1501187.159690208</v>
      </c>
      <c r="H74" s="98">
        <f t="shared" si="12"/>
        <v>1685465.1237478717</v>
      </c>
      <c r="I74" s="98">
        <f t="shared" si="12"/>
        <v>1874746.1260870979</v>
      </c>
      <c r="J74" s="98">
        <f t="shared" si="12"/>
        <v>2070530.0858646736</v>
      </c>
      <c r="K74" s="98">
        <f t="shared" si="12"/>
        <v>2268773.5621170038</v>
      </c>
    </row>
    <row r="75" spans="3:11" ht="16.5" customHeight="1">
      <c r="C75" s="95" t="s">
        <v>131</v>
      </c>
      <c r="D75" s="49"/>
      <c r="E75" s="49">
        <v>2207977</v>
      </c>
      <c r="F75" s="49">
        <v>2191161</v>
      </c>
      <c r="G75" s="91">
        <f>F75-F73</f>
        <v>2167717</v>
      </c>
      <c r="H75" s="91">
        <f>G75-G73</f>
        <v>2144273</v>
      </c>
      <c r="I75" s="91">
        <f>H75-H73</f>
        <v>2120829</v>
      </c>
      <c r="J75" s="91">
        <f>I75-I73</f>
        <v>2097385</v>
      </c>
      <c r="K75" s="91">
        <f>J75-J73</f>
        <v>2073941</v>
      </c>
    </row>
    <row r="76" spans="3:11" ht="15.75" customHeight="1">
      <c r="C76" s="95" t="s">
        <v>133</v>
      </c>
      <c r="D76" s="49"/>
      <c r="E76" s="49">
        <v>164224</v>
      </c>
      <c r="F76" s="49">
        <v>212365</v>
      </c>
      <c r="G76" s="91">
        <f t="shared" ref="G76:K78" si="13">F76</f>
        <v>212365</v>
      </c>
      <c r="H76" s="91">
        <f t="shared" si="13"/>
        <v>212365</v>
      </c>
      <c r="I76" s="91">
        <f t="shared" si="13"/>
        <v>212365</v>
      </c>
      <c r="J76" s="91">
        <f t="shared" si="13"/>
        <v>212365</v>
      </c>
      <c r="K76" s="91">
        <f t="shared" si="13"/>
        <v>212365</v>
      </c>
    </row>
    <row r="77" spans="3:11" ht="15.75" customHeight="1">
      <c r="C77" s="95" t="s">
        <v>134</v>
      </c>
      <c r="D77" s="49"/>
      <c r="E77" s="49">
        <v>169824</v>
      </c>
      <c r="F77" s="49">
        <v>157206</v>
      </c>
      <c r="G77" s="91">
        <f t="shared" si="13"/>
        <v>157206</v>
      </c>
      <c r="H77" s="91">
        <f t="shared" si="13"/>
        <v>157206</v>
      </c>
      <c r="I77" s="91">
        <f t="shared" si="13"/>
        <v>157206</v>
      </c>
      <c r="J77" s="91">
        <f t="shared" si="13"/>
        <v>157206</v>
      </c>
      <c r="K77" s="91">
        <f t="shared" si="13"/>
        <v>157206</v>
      </c>
    </row>
    <row r="78" spans="3:11" ht="15.75" customHeight="1">
      <c r="C78" s="95" t="s">
        <v>135</v>
      </c>
      <c r="D78" s="49"/>
      <c r="E78" s="49">
        <v>0</v>
      </c>
      <c r="F78" s="49">
        <v>5770</v>
      </c>
      <c r="G78" s="91">
        <f t="shared" si="13"/>
        <v>5770</v>
      </c>
      <c r="H78" s="91">
        <f t="shared" si="13"/>
        <v>5770</v>
      </c>
      <c r="I78" s="91">
        <f t="shared" si="13"/>
        <v>5770</v>
      </c>
      <c r="J78" s="91">
        <f t="shared" si="13"/>
        <v>5770</v>
      </c>
      <c r="K78" s="91">
        <f t="shared" si="13"/>
        <v>5770</v>
      </c>
    </row>
    <row r="79" spans="3:11" ht="15.75" customHeight="1">
      <c r="C79" s="95" t="s">
        <v>136</v>
      </c>
      <c r="D79" s="49"/>
      <c r="E79" s="49">
        <v>24628</v>
      </c>
      <c r="F79" s="49">
        <v>7261</v>
      </c>
      <c r="G79" s="91">
        <f>F79*(1+G39)</f>
        <v>8350.15</v>
      </c>
      <c r="H79" s="91">
        <f>G79*(1+H39)</f>
        <v>9435.6694999999982</v>
      </c>
      <c r="I79" s="91">
        <f>H79*(1+I39)</f>
        <v>10567.949839999999</v>
      </c>
      <c r="J79" s="91">
        <f>I79*(1+J39)</f>
        <v>11730.4243224</v>
      </c>
      <c r="K79" s="91">
        <f>J79*(1+K39)</f>
        <v>12903.466754640001</v>
      </c>
    </row>
    <row r="80" spans="3:11" ht="15.75" customHeight="1">
      <c r="C80" s="97" t="s">
        <v>137</v>
      </c>
      <c r="D80" s="98"/>
      <c r="E80" s="98">
        <f t="shared" ref="E80:K80" si="14">SUM(E74:E79)</f>
        <v>3840197</v>
      </c>
      <c r="F80" s="98">
        <f t="shared" si="14"/>
        <v>3890100</v>
      </c>
      <c r="G80" s="98">
        <f t="shared" si="14"/>
        <v>4052595.3096902077</v>
      </c>
      <c r="H80" s="98">
        <f t="shared" si="14"/>
        <v>4214514.793247872</v>
      </c>
      <c r="I80" s="98">
        <f t="shared" si="14"/>
        <v>4381484.0759270974</v>
      </c>
      <c r="J80" s="98">
        <f t="shared" si="14"/>
        <v>4554986.5101870736</v>
      </c>
      <c r="K80" s="98">
        <f t="shared" si="14"/>
        <v>4730959.0288716443</v>
      </c>
    </row>
    <row r="81" spans="3:11" ht="15.75" customHeight="1">
      <c r="C81" s="97" t="s">
        <v>337</v>
      </c>
      <c r="D81" s="98"/>
      <c r="E81" s="98"/>
      <c r="F81" s="98"/>
      <c r="G81" s="102"/>
      <c r="H81" s="102"/>
      <c r="I81" s="102"/>
      <c r="J81" s="102"/>
      <c r="K81" s="102"/>
    </row>
    <row r="82" spans="3:11" ht="16.5" customHeight="1">
      <c r="C82" s="97" t="s">
        <v>139</v>
      </c>
      <c r="D82" s="98"/>
      <c r="E82" s="98"/>
      <c r="F82" s="98"/>
      <c r="G82" s="91"/>
      <c r="H82" s="91"/>
      <c r="I82" s="91"/>
      <c r="J82" s="91"/>
      <c r="K82" s="91"/>
    </row>
    <row r="83" spans="3:11" ht="15.75" customHeight="1">
      <c r="C83" s="89" t="s">
        <v>140</v>
      </c>
      <c r="D83" s="49"/>
      <c r="E83" s="49">
        <v>3345</v>
      </c>
      <c r="F83" s="49">
        <v>3345</v>
      </c>
      <c r="G83" s="91">
        <f>F83</f>
        <v>3345</v>
      </c>
      <c r="H83" s="91">
        <f>G83</f>
        <v>3345</v>
      </c>
      <c r="I83" s="91">
        <f>H83</f>
        <v>3345</v>
      </c>
      <c r="J83" s="91">
        <f>I83</f>
        <v>3345</v>
      </c>
      <c r="K83" s="91">
        <f>J83</f>
        <v>3345</v>
      </c>
    </row>
    <row r="84" spans="3:11" ht="15.75" customHeight="1">
      <c r="C84" s="89" t="s">
        <v>141</v>
      </c>
      <c r="D84" s="49"/>
      <c r="E84" s="49">
        <v>0</v>
      </c>
      <c r="F84" s="49">
        <v>0</v>
      </c>
      <c r="G84" s="91">
        <v>0</v>
      </c>
      <c r="H84" s="91">
        <v>0</v>
      </c>
      <c r="I84" s="91">
        <v>0</v>
      </c>
      <c r="J84" s="91">
        <v>0</v>
      </c>
      <c r="K84" s="91">
        <v>0</v>
      </c>
    </row>
    <row r="85" spans="3:11" ht="15.75" customHeight="1">
      <c r="C85" s="89" t="s">
        <v>379</v>
      </c>
      <c r="D85" s="49"/>
      <c r="E85" s="49">
        <v>3944802</v>
      </c>
      <c r="F85" s="49">
        <v>3958039</v>
      </c>
      <c r="G85" s="91"/>
      <c r="H85" s="91"/>
      <c r="I85" s="91"/>
      <c r="J85" s="91"/>
      <c r="K85" s="91"/>
    </row>
    <row r="86" spans="3:11" ht="15.75" customHeight="1">
      <c r="C86" s="89" t="s">
        <v>143</v>
      </c>
      <c r="D86" s="49"/>
      <c r="E86" s="49">
        <f>-1563321</f>
        <v>-1563321</v>
      </c>
      <c r="F86" s="49">
        <v>-1285904</v>
      </c>
      <c r="G86" s="91"/>
      <c r="H86" s="91"/>
      <c r="I86" s="91"/>
      <c r="J86" s="91"/>
      <c r="K86" s="91"/>
    </row>
    <row r="87" spans="3:11" ht="15.75" customHeight="1">
      <c r="C87" s="89" t="s">
        <v>144</v>
      </c>
      <c r="D87" s="101"/>
      <c r="E87" s="49">
        <f>-11422</f>
        <v>-11422</v>
      </c>
      <c r="F87" s="49">
        <v>-8169</v>
      </c>
      <c r="G87" s="91"/>
      <c r="H87" s="91"/>
      <c r="I87" s="91"/>
      <c r="J87" s="91"/>
      <c r="K87" s="91"/>
    </row>
    <row r="88" spans="3:11" ht="15.75" customHeight="1">
      <c r="C88" s="89" t="s">
        <v>145</v>
      </c>
      <c r="D88" s="49"/>
      <c r="E88" s="49">
        <v>0</v>
      </c>
      <c r="F88" s="49">
        <v>0</v>
      </c>
      <c r="G88" s="91">
        <v>0</v>
      </c>
      <c r="H88" s="91">
        <v>0</v>
      </c>
      <c r="I88" s="91">
        <v>0</v>
      </c>
      <c r="J88" s="91">
        <v>0</v>
      </c>
      <c r="K88" s="91">
        <v>0</v>
      </c>
    </row>
    <row r="89" spans="3:11" ht="15.75" customHeight="1">
      <c r="C89" s="93" t="s">
        <v>146</v>
      </c>
      <c r="D89" s="102"/>
      <c r="E89" s="102">
        <f>SUM(E83:E88)</f>
        <v>2373404</v>
      </c>
      <c r="F89" s="102">
        <f>SUM(F83:F88)</f>
        <v>2667311</v>
      </c>
      <c r="G89" s="102"/>
      <c r="H89" s="102"/>
      <c r="I89" s="102"/>
      <c r="J89" s="102"/>
      <c r="K89" s="102"/>
    </row>
    <row r="90" spans="3:11" ht="15.75" customHeight="1">
      <c r="C90" s="97" t="s">
        <v>147</v>
      </c>
      <c r="D90" s="91"/>
      <c r="E90" s="91">
        <f>SUM(E89,E80)</f>
        <v>6213601</v>
      </c>
      <c r="F90" s="91">
        <f>SUM(F89,F80)</f>
        <v>6557411</v>
      </c>
    </row>
    <row r="91" spans="3:11" ht="15.75" customHeight="1">
      <c r="C91" s="97"/>
      <c r="D91" s="91"/>
      <c r="E91" s="91"/>
      <c r="F91" s="91"/>
    </row>
    <row r="92" spans="3:11" ht="15.75" customHeight="1">
      <c r="C92" s="60" t="s">
        <v>148</v>
      </c>
      <c r="D92" s="103"/>
      <c r="E92" s="103">
        <f t="shared" ref="E92:K92" si="15">E63-E90</f>
        <v>0</v>
      </c>
      <c r="F92" s="103">
        <f t="shared" si="15"/>
        <v>0</v>
      </c>
      <c r="G92" s="103">
        <f t="shared" si="15"/>
        <v>6647481.6155070728</v>
      </c>
      <c r="H92" s="103">
        <f t="shared" si="15"/>
        <v>6937715.1729561286</v>
      </c>
      <c r="I92" s="103">
        <f t="shared" si="15"/>
        <v>7243139.8386281244</v>
      </c>
      <c r="J92" s="103">
        <f t="shared" si="15"/>
        <v>7564833.8574173581</v>
      </c>
      <c r="K92" s="103">
        <f t="shared" si="15"/>
        <v>7892084.2097933823</v>
      </c>
    </row>
    <row r="93" spans="3:11" ht="15.75" customHeight="1">
      <c r="E93" s="91"/>
      <c r="F93" s="91"/>
      <c r="H93" s="91"/>
      <c r="I93" s="91"/>
      <c r="J93" s="91"/>
      <c r="K93" s="91"/>
    </row>
    <row r="94" spans="3:11" ht="15.75" customHeight="1">
      <c r="C94" s="57" t="s">
        <v>149</v>
      </c>
      <c r="D94" s="31"/>
      <c r="E94" s="31"/>
      <c r="F94" s="31"/>
      <c r="G94" s="31"/>
      <c r="H94" s="31"/>
      <c r="I94" s="31"/>
      <c r="J94" s="31"/>
      <c r="K94" s="31"/>
    </row>
    <row r="95" spans="3:11" ht="15.75" customHeight="1">
      <c r="C95" s="79" t="str">
        <f>C14</f>
        <v xml:space="preserve">Fiscal year  </v>
      </c>
      <c r="D95" s="81"/>
      <c r="E95" s="81"/>
      <c r="F95" s="81"/>
      <c r="G95" s="83">
        <f t="shared" ref="G95:K96" si="16">G14</f>
        <v>2026</v>
      </c>
      <c r="H95" s="83">
        <f t="shared" si="16"/>
        <v>2027</v>
      </c>
      <c r="I95" s="83">
        <f t="shared" si="16"/>
        <v>2028</v>
      </c>
      <c r="J95" s="83">
        <f t="shared" si="16"/>
        <v>2029</v>
      </c>
      <c r="K95" s="83">
        <f t="shared" si="16"/>
        <v>2030</v>
      </c>
    </row>
    <row r="96" spans="3:11" ht="15.75" customHeight="1">
      <c r="C96" s="6" t="str">
        <f>C15</f>
        <v>Fiscal year end date</v>
      </c>
      <c r="D96" s="85"/>
      <c r="E96" s="85"/>
      <c r="F96" s="85"/>
      <c r="G96" s="85">
        <f t="shared" si="16"/>
        <v>46387</v>
      </c>
      <c r="H96" s="85">
        <f t="shared" si="16"/>
        <v>46752</v>
      </c>
      <c r="I96" s="85">
        <f t="shared" si="16"/>
        <v>47118</v>
      </c>
      <c r="J96" s="85">
        <f t="shared" si="16"/>
        <v>47483</v>
      </c>
      <c r="K96" s="85">
        <f t="shared" si="16"/>
        <v>47848</v>
      </c>
    </row>
    <row r="98" spans="3:13" ht="15.75" customHeight="1">
      <c r="C98" t="s">
        <v>81</v>
      </c>
      <c r="D98" s="104"/>
      <c r="E98" s="104"/>
      <c r="F98" s="104"/>
      <c r="G98" s="91">
        <f>G31</f>
        <v>489359.83833749994</v>
      </c>
      <c r="H98" s="91">
        <f>H31</f>
        <v>596172.82425187482</v>
      </c>
      <c r="I98" s="91">
        <f>I31</f>
        <v>718543.87080533989</v>
      </c>
      <c r="J98" s="91">
        <f>J31</f>
        <v>838408.36424992501</v>
      </c>
      <c r="K98" s="91">
        <f>K31</f>
        <v>955219.90149111568</v>
      </c>
      <c r="M98" s="72"/>
    </row>
    <row r="99" spans="3:13" ht="15.75" customHeight="1">
      <c r="C99" t="s">
        <v>150</v>
      </c>
      <c r="D99" s="104"/>
      <c r="E99" s="104"/>
      <c r="F99" s="104"/>
      <c r="G99" s="91">
        <f>G33</f>
        <v>216229.61165048543</v>
      </c>
      <c r="H99" s="91">
        <f>H33</f>
        <v>214550.48543689318</v>
      </c>
      <c r="I99" s="91">
        <f>I33</f>
        <v>217360.92233009706</v>
      </c>
      <c r="J99" s="91">
        <f>J33</f>
        <v>218471.35922330097</v>
      </c>
      <c r="K99" s="91">
        <f>K33</f>
        <v>217471.35922330097</v>
      </c>
      <c r="M99" t="s">
        <v>392</v>
      </c>
    </row>
    <row r="100" spans="3:13" ht="15.75" customHeight="1">
      <c r="C100" t="s">
        <v>85</v>
      </c>
      <c r="D100" s="104"/>
      <c r="E100" s="104"/>
      <c r="F100" s="104"/>
      <c r="G100" s="91">
        <f>G35</f>
        <v>0</v>
      </c>
      <c r="H100" s="91">
        <f>H35</f>
        <v>0</v>
      </c>
      <c r="I100" s="91">
        <f>I35</f>
        <v>0</v>
      </c>
      <c r="J100" s="91">
        <f>J35</f>
        <v>0</v>
      </c>
      <c r="K100" s="91">
        <f>K35</f>
        <v>0</v>
      </c>
    </row>
    <row r="101" spans="3:13" ht="15.75" customHeight="1">
      <c r="C101" t="s">
        <v>152</v>
      </c>
      <c r="D101" s="91"/>
      <c r="E101" s="91"/>
      <c r="F101" s="91"/>
      <c r="G101" s="91">
        <f>F50+F51+F52+F53-G50-G51-G52-G53</f>
        <v>-385052.1271575588</v>
      </c>
      <c r="H101" s="91">
        <f>G50+G51+G52+G53-H50-H51-H52-H53</f>
        <v>-383822.15988594899</v>
      </c>
      <c r="I101" s="91">
        <f>H50+H51+H52+H53-I50-I51-I52-I53</f>
        <v>-396782.27004209306</v>
      </c>
      <c r="J101" s="91">
        <f>I50+I51+I52+I53-J50-J51-J52-J53</f>
        <v>-409135.30490693299</v>
      </c>
      <c r="K101" s="91">
        <f>J50+J51+J52+J53-K50-K51-K52-K53</f>
        <v>-413682.27419276576</v>
      </c>
    </row>
    <row r="102" spans="3:13" ht="15.75" customHeight="1">
      <c r="C102" t="s">
        <v>153</v>
      </c>
      <c r="D102" s="91"/>
      <c r="E102" s="91"/>
      <c r="F102" s="91"/>
      <c r="G102" s="91">
        <f>F50+F51+F52+F53-G50-G51-G52-G53</f>
        <v>-385052.1271575588</v>
      </c>
      <c r="H102" s="91">
        <f>H66+H67+H68+H71-G66-G67-G68-G71</f>
        <v>184277.96405766363</v>
      </c>
      <c r="I102" s="91">
        <f>I66+I67+I68+I71-H66-H67-H68-H71</f>
        <v>189281.00233922631</v>
      </c>
      <c r="J102" s="91">
        <f>J66+J67+J68+J71-I66-I67-I68-I71</f>
        <v>195783.95977757557</v>
      </c>
      <c r="K102" s="91">
        <f>K66+K67+K68+K71-J66-J67-J68-J71</f>
        <v>198243.47625233023</v>
      </c>
    </row>
    <row r="103" spans="3:13" ht="15.75" customHeight="1">
      <c r="C103" t="s">
        <v>117</v>
      </c>
      <c r="G103" s="91">
        <f>G62</f>
        <v>7399.0999999999995</v>
      </c>
      <c r="H103" s="91">
        <f>H62</f>
        <v>8360.9829999999984</v>
      </c>
      <c r="I103" s="91">
        <f>I62</f>
        <v>9364.3009599999987</v>
      </c>
      <c r="J103" s="91">
        <f>J62</f>
        <v>10394.374065599999</v>
      </c>
      <c r="K103" s="91">
        <f>K62</f>
        <v>11433.81147216</v>
      </c>
      <c r="M103" t="s">
        <v>393</v>
      </c>
    </row>
    <row r="104" spans="3:13" ht="15.75" customHeight="1">
      <c r="C104" t="s">
        <v>136</v>
      </c>
      <c r="G104" s="91">
        <f>G79</f>
        <v>8350.15</v>
      </c>
      <c r="H104" s="91">
        <f>H79</f>
        <v>9435.6694999999982</v>
      </c>
      <c r="I104" s="91">
        <f>I79</f>
        <v>10567.949839999999</v>
      </c>
      <c r="J104" s="91">
        <f>J79</f>
        <v>11730.4243224</v>
      </c>
      <c r="K104" s="91">
        <f>K79</f>
        <v>12903.466754640001</v>
      </c>
      <c r="M104" s="72"/>
    </row>
    <row r="105" spans="3:13" ht="15.75" customHeight="1">
      <c r="C105" s="72" t="s">
        <v>154</v>
      </c>
      <c r="G105" s="102">
        <f>SUM(G98:G104)</f>
        <v>-48765.55432713218</v>
      </c>
      <c r="H105" s="102">
        <f>SUM(H98:H104)</f>
        <v>628975.76636048255</v>
      </c>
      <c r="I105" s="102">
        <f>SUM(I98:I104)</f>
        <v>748335.77623257029</v>
      </c>
      <c r="J105" s="102">
        <f>SUM(J98:J104)</f>
        <v>865653.17673186853</v>
      </c>
      <c r="K105" s="102">
        <f>SUM(K98:K104)</f>
        <v>981589.74100078107</v>
      </c>
    </row>
    <row r="106" spans="3:13" ht="15.75" customHeight="1">
      <c r="G106" s="91"/>
      <c r="H106" s="91"/>
      <c r="I106" s="91"/>
      <c r="J106" s="91"/>
      <c r="K106" s="91"/>
    </row>
    <row r="107" spans="3:13" ht="15.75" customHeight="1">
      <c r="C107" t="s">
        <v>157</v>
      </c>
      <c r="G107" s="91">
        <f>G123</f>
        <v>110000</v>
      </c>
      <c r="H107" s="91">
        <f>H123</f>
        <v>120000</v>
      </c>
      <c r="I107" s="91">
        <f>I123</f>
        <v>125000</v>
      </c>
      <c r="J107" s="91">
        <f>J123</f>
        <v>130000</v>
      </c>
      <c r="K107" s="91">
        <f>K123</f>
        <v>130000</v>
      </c>
      <c r="M107" t="s">
        <v>394</v>
      </c>
    </row>
    <row r="108" spans="3:13" ht="15.75" customHeight="1">
      <c r="C108" s="72" t="s">
        <v>158</v>
      </c>
      <c r="G108" s="102">
        <f>G107</f>
        <v>110000</v>
      </c>
      <c r="H108" s="102">
        <f>H107</f>
        <v>120000</v>
      </c>
      <c r="I108" s="102">
        <f>I107</f>
        <v>125000</v>
      </c>
      <c r="J108" s="102">
        <f>J107</f>
        <v>130000</v>
      </c>
      <c r="K108" s="102">
        <f>K107</f>
        <v>130000</v>
      </c>
    </row>
    <row r="109" spans="3:13" ht="15.75" customHeight="1">
      <c r="G109" s="91"/>
      <c r="H109" s="91"/>
      <c r="I109" s="91"/>
      <c r="J109" s="91"/>
      <c r="K109" s="91"/>
    </row>
    <row r="110" spans="3:13" ht="15.75" customHeight="1">
      <c r="C110" t="s">
        <v>131</v>
      </c>
      <c r="G110" s="91">
        <f>F73+F75-G73-G75</f>
        <v>23444</v>
      </c>
      <c r="H110" s="91">
        <f>G73+G75-H73-H75</f>
        <v>23444</v>
      </c>
      <c r="I110" s="91">
        <f>H73+H75-I73-I75</f>
        <v>23444</v>
      </c>
      <c r="J110" s="91">
        <f>I73+I75-J73-J75</f>
        <v>23444</v>
      </c>
      <c r="K110" s="91">
        <f>J73+J75-K73-K75</f>
        <v>23444</v>
      </c>
    </row>
    <row r="111" spans="3:13" ht="15.75" customHeight="1">
      <c r="C111" t="s">
        <v>138</v>
      </c>
      <c r="G111" s="295">
        <f>-G155</f>
        <v>-274395.44567286782</v>
      </c>
      <c r="H111" s="295">
        <f>-H155</f>
        <v>-772419.76636048255</v>
      </c>
      <c r="I111" s="295">
        <f>-I155</f>
        <v>-896779.77623257029</v>
      </c>
      <c r="J111" s="295">
        <f>-J155</f>
        <v>-1019097.1767318685</v>
      </c>
      <c r="K111" s="295">
        <f>-K155</f>
        <v>-1135033.7410007811</v>
      </c>
      <c r="M111" t="s">
        <v>395</v>
      </c>
    </row>
    <row r="112" spans="3:13" ht="17.25" customHeight="1">
      <c r="C112" t="s">
        <v>161</v>
      </c>
      <c r="F112" s="289"/>
      <c r="G112" s="91">
        <f>G144</f>
        <v>0</v>
      </c>
      <c r="H112" s="91">
        <f>H144</f>
        <v>0</v>
      </c>
      <c r="I112" s="91">
        <f>I144</f>
        <v>0</v>
      </c>
      <c r="J112" s="91">
        <f>J144</f>
        <v>0</v>
      </c>
      <c r="K112" s="91">
        <f>K144</f>
        <v>0</v>
      </c>
      <c r="M112" t="s">
        <v>396</v>
      </c>
    </row>
    <row r="113" spans="3:15" ht="15.75" customHeight="1">
      <c r="C113" t="s">
        <v>163</v>
      </c>
      <c r="G113" s="91">
        <f>G143</f>
        <v>0</v>
      </c>
      <c r="H113" s="91">
        <f>H143</f>
        <v>0</v>
      </c>
      <c r="I113" s="91">
        <f>I143</f>
        <v>0</v>
      </c>
      <c r="J113" s="91">
        <f>J143</f>
        <v>0</v>
      </c>
      <c r="K113" s="91">
        <f>K143</f>
        <v>0</v>
      </c>
      <c r="M113" t="s">
        <v>396</v>
      </c>
    </row>
    <row r="114" spans="3:15" ht="15.75" customHeight="1">
      <c r="C114" s="72" t="s">
        <v>164</v>
      </c>
      <c r="G114" s="102">
        <f>SUM(G110:G113)</f>
        <v>-250951.44567286782</v>
      </c>
      <c r="H114" s="102">
        <f>SUM(H110:H113)</f>
        <v>-748975.76636048255</v>
      </c>
      <c r="I114" s="102">
        <f>SUM(I110:I113)</f>
        <v>-873335.77623257029</v>
      </c>
      <c r="J114" s="102">
        <f>SUM(J110:J113)</f>
        <v>-995653.17673186853</v>
      </c>
      <c r="K114" s="102">
        <f>SUM(K110:K113)</f>
        <v>-1111589.7410007811</v>
      </c>
    </row>
    <row r="115" spans="3:15" ht="15.75" customHeight="1">
      <c r="G115" s="91"/>
      <c r="H115" s="91"/>
      <c r="I115" s="91"/>
      <c r="J115" s="91"/>
      <c r="K115" s="91"/>
    </row>
    <row r="116" spans="3:15" ht="15.75" customHeight="1">
      <c r="C116" s="72" t="s">
        <v>167</v>
      </c>
      <c r="G116" s="102">
        <f>SUM(G105,G108,G114)</f>
        <v>-189717</v>
      </c>
      <c r="H116" s="102">
        <f>SUM(H105,H108,H114)</f>
        <v>0</v>
      </c>
      <c r="I116" s="102">
        <f>SUM(I105,I108,I114)</f>
        <v>0</v>
      </c>
      <c r="J116" s="102">
        <f>SUM(J105,J108,J114)</f>
        <v>0</v>
      </c>
      <c r="K116" s="102">
        <f>SUM(K105,K108,K114)</f>
        <v>0</v>
      </c>
    </row>
    <row r="118" spans="3:15" ht="15.75" customHeight="1">
      <c r="C118" s="57" t="s">
        <v>168</v>
      </c>
      <c r="D118" s="6"/>
      <c r="E118" s="6"/>
      <c r="F118" s="6"/>
      <c r="G118" s="6"/>
      <c r="H118" s="6"/>
      <c r="I118" s="6"/>
      <c r="J118" s="6"/>
      <c r="K118" s="6"/>
    </row>
    <row r="119" spans="3:15" ht="15.75" customHeight="1">
      <c r="C119" s="79" t="str">
        <f t="shared" ref="C119:K119" si="17">C14</f>
        <v xml:space="preserve">Fiscal year  </v>
      </c>
      <c r="D119" s="81">
        <f t="shared" si="17"/>
        <v>2023</v>
      </c>
      <c r="E119" s="81">
        <f t="shared" si="17"/>
        <v>2024</v>
      </c>
      <c r="F119" s="81">
        <f t="shared" si="17"/>
        <v>2025</v>
      </c>
      <c r="G119" s="83">
        <f t="shared" si="17"/>
        <v>2026</v>
      </c>
      <c r="H119" s="83">
        <f t="shared" si="17"/>
        <v>2027</v>
      </c>
      <c r="I119" s="83">
        <f t="shared" si="17"/>
        <v>2028</v>
      </c>
      <c r="J119" s="83">
        <f t="shared" si="17"/>
        <v>2029</v>
      </c>
      <c r="K119" s="83">
        <f t="shared" si="17"/>
        <v>2030</v>
      </c>
    </row>
    <row r="120" spans="3:15" ht="15.75" customHeight="1">
      <c r="C120" s="6" t="str">
        <f t="shared" ref="C120:K120" si="18">C15</f>
        <v>Fiscal year end date</v>
      </c>
      <c r="D120" s="85">
        <f t="shared" si="18"/>
        <v>45291</v>
      </c>
      <c r="E120" s="85">
        <f t="shared" si="18"/>
        <v>45657</v>
      </c>
      <c r="F120" s="85">
        <f t="shared" si="18"/>
        <v>46022</v>
      </c>
      <c r="G120" s="85">
        <f t="shared" si="18"/>
        <v>46387</v>
      </c>
      <c r="H120" s="85">
        <f t="shared" si="18"/>
        <v>46752</v>
      </c>
      <c r="I120" s="85">
        <f t="shared" si="18"/>
        <v>47118</v>
      </c>
      <c r="J120" s="85">
        <f t="shared" si="18"/>
        <v>47483</v>
      </c>
      <c r="K120" s="85">
        <f t="shared" si="18"/>
        <v>47848</v>
      </c>
    </row>
    <row r="121" spans="3:15" ht="15.75" customHeight="1">
      <c r="C121" s="72"/>
      <c r="G121" s="306" t="s">
        <v>169</v>
      </c>
      <c r="H121" s="306"/>
      <c r="I121" s="306"/>
      <c r="J121" s="306"/>
      <c r="K121" s="306"/>
    </row>
    <row r="122" spans="3:15" ht="15.75" customHeight="1">
      <c r="C122" s="95" t="s">
        <v>170</v>
      </c>
      <c r="F122" s="91">
        <f>E56</f>
        <v>568607</v>
      </c>
      <c r="G122" s="91">
        <f>F125</f>
        <v>579971</v>
      </c>
      <c r="H122" s="91">
        <f>G125</f>
        <v>595141.38834951457</v>
      </c>
      <c r="I122" s="91">
        <f>H125</f>
        <v>611690.90291262139</v>
      </c>
      <c r="J122" s="91">
        <f>I125</f>
        <v>628929.98058252432</v>
      </c>
      <c r="K122" s="91">
        <f>J125</f>
        <v>646858.62135922338</v>
      </c>
      <c r="M122" t="s">
        <v>397</v>
      </c>
    </row>
    <row r="123" spans="3:15" ht="15.75" customHeight="1">
      <c r="C123" s="44" t="s">
        <v>171</v>
      </c>
      <c r="D123" s="49"/>
      <c r="E123" s="49"/>
      <c r="F123" s="109">
        <v>82400</v>
      </c>
      <c r="G123" s="49">
        <v>110000</v>
      </c>
      <c r="H123" s="49">
        <v>120000</v>
      </c>
      <c r="I123" s="49">
        <v>125000</v>
      </c>
      <c r="J123" s="49">
        <v>130000</v>
      </c>
      <c r="K123" s="49">
        <v>130000</v>
      </c>
    </row>
    <row r="124" spans="3:15" ht="15.75" customHeight="1">
      <c r="C124" s="108" t="s">
        <v>173</v>
      </c>
      <c r="D124" s="109"/>
      <c r="E124" s="109"/>
      <c r="F124" s="109">
        <f>-(F122+F123-F125)</f>
        <v>-71036</v>
      </c>
      <c r="G124" s="110">
        <f>-G123*G127</f>
        <v>-94829.611650485429</v>
      </c>
      <c r="H124" s="110">
        <f>-H123*H127</f>
        <v>-103450.4854368932</v>
      </c>
      <c r="I124" s="110">
        <f>-I123*I127</f>
        <v>-107760.92233009708</v>
      </c>
      <c r="J124" s="110">
        <f>-J123*J127</f>
        <v>-112071.35922330097</v>
      </c>
      <c r="K124" s="110">
        <f>-K123*K127</f>
        <v>-112071.35922330097</v>
      </c>
      <c r="M124" t="s">
        <v>398</v>
      </c>
    </row>
    <row r="125" spans="3:15" ht="15.75" customHeight="1">
      <c r="C125" s="111" t="s">
        <v>175</v>
      </c>
      <c r="D125" s="102"/>
      <c r="E125" s="102"/>
      <c r="F125" s="102">
        <f>F56</f>
        <v>579971</v>
      </c>
      <c r="G125" s="102">
        <f>SUM(G122:G124)</f>
        <v>595141.38834951457</v>
      </c>
      <c r="H125" s="102">
        <f>SUM(H122:H124)</f>
        <v>611690.90291262139</v>
      </c>
      <c r="I125" s="102">
        <f>SUM(I122:I124)</f>
        <v>628929.98058252432</v>
      </c>
      <c r="J125" s="102">
        <f>SUM(J122:J124)</f>
        <v>646858.62135922338</v>
      </c>
      <c r="K125" s="102">
        <f>SUM(K122:K124)</f>
        <v>664787.26213592244</v>
      </c>
      <c r="M125" t="s">
        <v>399</v>
      </c>
    </row>
    <row r="126" spans="3:15" ht="15.75" customHeight="1">
      <c r="C126" s="95"/>
      <c r="M126" s="26"/>
    </row>
    <row r="127" spans="3:15" ht="15.75" customHeight="1">
      <c r="C127" s="95" t="s">
        <v>176</v>
      </c>
      <c r="D127" s="112"/>
      <c r="E127" s="112"/>
      <c r="F127" s="113">
        <f>-F124/F123</f>
        <v>0.86208737864077667</v>
      </c>
      <c r="G127" s="42">
        <f>F127</f>
        <v>0.86208737864077667</v>
      </c>
      <c r="H127" s="42">
        <f>G127</f>
        <v>0.86208737864077667</v>
      </c>
      <c r="I127" s="42">
        <f>H127</f>
        <v>0.86208737864077667</v>
      </c>
      <c r="J127" s="42">
        <f>I127</f>
        <v>0.86208737864077667</v>
      </c>
      <c r="K127" s="42">
        <f>J127</f>
        <v>0.86208737864077667</v>
      </c>
    </row>
    <row r="128" spans="3:15" ht="15.75" customHeight="1">
      <c r="C128" s="95"/>
      <c r="D128" s="112"/>
      <c r="E128" s="112"/>
      <c r="F128" s="112"/>
      <c r="G128" s="42"/>
      <c r="H128" s="42"/>
      <c r="I128" s="42"/>
      <c r="J128" s="42"/>
      <c r="K128" s="42"/>
      <c r="O128" s="114"/>
    </row>
    <row r="129" spans="3:15" ht="15.75" customHeight="1">
      <c r="C129" s="115" t="s">
        <v>177</v>
      </c>
      <c r="D129" s="116"/>
      <c r="E129" s="116"/>
      <c r="F129" s="116"/>
      <c r="G129" s="117"/>
      <c r="H129" s="117"/>
      <c r="I129" s="117"/>
      <c r="J129" s="117"/>
      <c r="K129" s="117"/>
      <c r="O129" s="114"/>
    </row>
    <row r="130" spans="3:15" ht="15.75" customHeight="1">
      <c r="C130" s="95" t="s">
        <v>178</v>
      </c>
      <c r="D130" s="91"/>
      <c r="E130" s="91"/>
      <c r="F130" s="91">
        <f>F33+F124</f>
        <v>122628</v>
      </c>
      <c r="G130" s="101">
        <f>-G20</f>
        <v>121400</v>
      </c>
      <c r="H130" s="101">
        <f>-H20</f>
        <v>111100</v>
      </c>
      <c r="I130" s="101">
        <f>-I20</f>
        <v>109600</v>
      </c>
      <c r="J130" s="101">
        <f>-J20</f>
        <v>106400</v>
      </c>
      <c r="K130" s="101">
        <f>-K20</f>
        <v>105400</v>
      </c>
      <c r="O130" s="114"/>
    </row>
    <row r="131" spans="3:15" ht="15.75" customHeight="1">
      <c r="C131" s="44" t="s">
        <v>180</v>
      </c>
      <c r="D131" s="118"/>
      <c r="E131" s="118"/>
      <c r="F131" s="118"/>
      <c r="G131" s="42">
        <f>G130/G17</f>
        <v>1.7412782024765035E-2</v>
      </c>
      <c r="H131" s="42">
        <f>H130/H17</f>
        <v>1.4102142285076729E-2</v>
      </c>
      <c r="I131" s="42">
        <f>I130/I17</f>
        <v>1.2421200289671541E-2</v>
      </c>
      <c r="J131" s="42">
        <f>J130/J17</f>
        <v>1.0863547304046262E-2</v>
      </c>
      <c r="K131" s="42">
        <f>K130/K17</f>
        <v>9.783132995954168E-3</v>
      </c>
      <c r="M131" t="s">
        <v>400</v>
      </c>
      <c r="O131" s="114"/>
    </row>
    <row r="132" spans="3:15" ht="15.75" customHeight="1">
      <c r="C132" s="97" t="s">
        <v>181</v>
      </c>
      <c r="D132" s="102"/>
      <c r="E132" s="102"/>
      <c r="F132" s="102"/>
      <c r="G132" s="98">
        <f>G130-G124</f>
        <v>216229.61165048543</v>
      </c>
      <c r="H132" s="98">
        <f>H130-H124</f>
        <v>214550.48543689318</v>
      </c>
      <c r="I132" s="98">
        <f>I130-I124</f>
        <v>217360.92233009706</v>
      </c>
      <c r="J132" s="98">
        <f>J130-J124</f>
        <v>218471.35922330097</v>
      </c>
      <c r="K132" s="98">
        <f>K130-K124</f>
        <v>217471.35922330097</v>
      </c>
      <c r="M132" t="s">
        <v>401</v>
      </c>
      <c r="O132" s="114"/>
    </row>
    <row r="133" spans="3:15" ht="15.75" customHeight="1">
      <c r="H133" s="91"/>
      <c r="I133" s="91"/>
      <c r="J133" s="91"/>
      <c r="K133" s="91"/>
    </row>
    <row r="134" spans="3:15" ht="15.75" customHeight="1">
      <c r="C134" s="120" t="s">
        <v>402</v>
      </c>
      <c r="D134" s="6"/>
      <c r="E134" s="6"/>
      <c r="F134" s="6"/>
      <c r="H134" s="91"/>
      <c r="I134" s="91"/>
      <c r="J134" s="91"/>
      <c r="K134" s="91"/>
    </row>
    <row r="135" spans="3:15" ht="15.75" customHeight="1">
      <c r="C135" s="95" t="s">
        <v>170</v>
      </c>
      <c r="D135" s="91"/>
      <c r="G135" s="296">
        <f>F62</f>
        <v>6434</v>
      </c>
      <c r="H135" s="296">
        <f>G62</f>
        <v>7399.0999999999995</v>
      </c>
      <c r="I135" s="296">
        <f>H62</f>
        <v>8360.9829999999984</v>
      </c>
      <c r="J135" s="296">
        <f>I62</f>
        <v>9364.3009599999987</v>
      </c>
      <c r="K135" s="296">
        <f>J62</f>
        <v>10394.374065599999</v>
      </c>
      <c r="M135" t="s">
        <v>397</v>
      </c>
    </row>
    <row r="136" spans="3:15" ht="15.75" customHeight="1">
      <c r="C136" s="44" t="s">
        <v>403</v>
      </c>
      <c r="G136" s="91">
        <f>-G130</f>
        <v>-121400</v>
      </c>
      <c r="H136" s="91">
        <f>-H130</f>
        <v>-111100</v>
      </c>
      <c r="I136" s="91">
        <f>-I130</f>
        <v>-109600</v>
      </c>
      <c r="J136" s="91">
        <f>-J130</f>
        <v>-106400</v>
      </c>
      <c r="K136" s="91">
        <f>-K130</f>
        <v>-105400</v>
      </c>
      <c r="M136" t="s">
        <v>404</v>
      </c>
    </row>
    <row r="137" spans="3:15" ht="15.75" customHeight="1">
      <c r="C137" s="108" t="s">
        <v>405</v>
      </c>
      <c r="D137" s="122"/>
      <c r="E137" s="122"/>
      <c r="F137" s="122"/>
      <c r="G137" s="297">
        <f>G138-G136-G135</f>
        <v>122365.1</v>
      </c>
      <c r="H137" s="297">
        <f>H138-H136-H135</f>
        <v>112061.88299999999</v>
      </c>
      <c r="I137" s="297">
        <f>I138-I136-I135</f>
        <v>110603.31796</v>
      </c>
      <c r="J137" s="297">
        <f>J138-J136-J135</f>
        <v>107430.07310560001</v>
      </c>
      <c r="K137" s="297">
        <f>K138-K136-K135</f>
        <v>106439.43740656</v>
      </c>
      <c r="M137" t="s">
        <v>406</v>
      </c>
    </row>
    <row r="138" spans="3:15" ht="15.75" customHeight="1">
      <c r="C138" s="111" t="s">
        <v>175</v>
      </c>
      <c r="E138" s="102"/>
      <c r="F138" s="102"/>
      <c r="G138" s="102">
        <f>G62</f>
        <v>7399.0999999999995</v>
      </c>
      <c r="H138" s="102">
        <f>H62</f>
        <v>8360.9829999999984</v>
      </c>
      <c r="I138" s="102">
        <f>I62</f>
        <v>9364.3009599999987</v>
      </c>
      <c r="J138" s="102">
        <f>J62</f>
        <v>10394.374065599999</v>
      </c>
      <c r="K138" s="102">
        <f>K62</f>
        <v>11433.81147216</v>
      </c>
      <c r="M138" t="s">
        <v>407</v>
      </c>
    </row>
    <row r="139" spans="3:15" ht="15.75" customHeight="1">
      <c r="C139" s="44"/>
      <c r="E139" s="91"/>
      <c r="F139" s="91"/>
      <c r="H139" s="91"/>
      <c r="I139" s="91"/>
      <c r="J139" s="91"/>
      <c r="K139" s="91"/>
    </row>
    <row r="140" spans="3:15" ht="15.75" customHeight="1">
      <c r="C140" s="119" t="s">
        <v>182</v>
      </c>
      <c r="D140" s="120"/>
      <c r="E140" s="120"/>
      <c r="F140" s="120"/>
      <c r="G140" s="6"/>
      <c r="H140" s="6"/>
      <c r="I140" s="6"/>
      <c r="J140" s="6"/>
      <c r="K140" s="6"/>
    </row>
    <row r="141" spans="3:15" ht="15.75" customHeight="1">
      <c r="C141" s="95" t="s">
        <v>170</v>
      </c>
      <c r="G141" s="91"/>
      <c r="H141" s="91"/>
      <c r="I141" s="91"/>
      <c r="J141" s="91"/>
      <c r="K141" s="91"/>
      <c r="M141" t="s">
        <v>397</v>
      </c>
    </row>
    <row r="142" spans="3:15" ht="15.75" customHeight="1">
      <c r="C142" s="44" t="s">
        <v>183</v>
      </c>
      <c r="D142" s="101"/>
      <c r="E142" s="101"/>
      <c r="F142" s="101"/>
      <c r="G142" s="91"/>
      <c r="H142" s="91"/>
      <c r="I142" s="91"/>
      <c r="J142" s="91"/>
      <c r="K142" s="91"/>
      <c r="M142" t="s">
        <v>408</v>
      </c>
    </row>
    <row r="143" spans="3:15" ht="15.75" customHeight="1">
      <c r="C143" s="44" t="s">
        <v>184</v>
      </c>
      <c r="D143" s="49"/>
      <c r="E143" s="49"/>
      <c r="F143" s="49"/>
      <c r="G143" s="91"/>
      <c r="H143" s="91"/>
      <c r="I143" s="91"/>
      <c r="J143" s="91"/>
      <c r="K143" s="91"/>
      <c r="M143" t="s">
        <v>409</v>
      </c>
    </row>
    <row r="144" spans="3:15" ht="15.75" customHeight="1">
      <c r="C144" s="108" t="s">
        <v>185</v>
      </c>
      <c r="D144" s="109"/>
      <c r="E144" s="109"/>
      <c r="F144" s="109"/>
      <c r="G144" s="110"/>
      <c r="H144" s="110"/>
      <c r="I144" s="110"/>
      <c r="J144" s="110"/>
      <c r="K144" s="110"/>
      <c r="M144" t="s">
        <v>410</v>
      </c>
    </row>
    <row r="145" spans="3:13" ht="15.75" customHeight="1">
      <c r="C145" s="111" t="s">
        <v>175</v>
      </c>
      <c r="D145" s="98"/>
      <c r="E145" s="98"/>
      <c r="F145" s="98"/>
      <c r="G145" s="102"/>
      <c r="H145" s="102"/>
      <c r="I145" s="102"/>
      <c r="J145" s="102"/>
      <c r="K145" s="102"/>
      <c r="M145" t="s">
        <v>411</v>
      </c>
    </row>
    <row r="146" spans="3:13" ht="15.75" customHeight="1">
      <c r="E146" s="104"/>
      <c r="F146" s="104"/>
    </row>
    <row r="147" spans="3:13" ht="15.75" customHeight="1">
      <c r="C147" s="57" t="s">
        <v>186</v>
      </c>
      <c r="D147" s="6"/>
      <c r="E147" s="6"/>
      <c r="F147" s="6"/>
      <c r="G147" s="6"/>
      <c r="H147" s="6"/>
      <c r="I147" s="6"/>
      <c r="J147" s="6"/>
      <c r="K147" s="6"/>
    </row>
    <row r="148" spans="3:13" ht="15.75" customHeight="1">
      <c r="C148" s="79" t="str">
        <f t="shared" ref="C148:K148" si="19">C14</f>
        <v xml:space="preserve">Fiscal year  </v>
      </c>
      <c r="D148" s="81">
        <f t="shared" si="19"/>
        <v>2023</v>
      </c>
      <c r="E148" s="81">
        <f t="shared" si="19"/>
        <v>2024</v>
      </c>
      <c r="F148" s="81">
        <f t="shared" si="19"/>
        <v>2025</v>
      </c>
      <c r="G148" s="83">
        <f t="shared" si="19"/>
        <v>2026</v>
      </c>
      <c r="H148" s="83">
        <f t="shared" si="19"/>
        <v>2027</v>
      </c>
      <c r="I148" s="83">
        <f t="shared" si="19"/>
        <v>2028</v>
      </c>
      <c r="J148" s="83">
        <f t="shared" si="19"/>
        <v>2029</v>
      </c>
      <c r="K148" s="83">
        <f t="shared" si="19"/>
        <v>2030</v>
      </c>
    </row>
    <row r="149" spans="3:13" ht="15.75" customHeight="1">
      <c r="C149" s="6" t="str">
        <f t="shared" ref="C149:K149" si="20">C15</f>
        <v>Fiscal year end date</v>
      </c>
      <c r="D149" s="85">
        <f t="shared" si="20"/>
        <v>45291</v>
      </c>
      <c r="E149" s="85">
        <f t="shared" si="20"/>
        <v>45657</v>
      </c>
      <c r="F149" s="85">
        <f t="shared" si="20"/>
        <v>46022</v>
      </c>
      <c r="G149" s="85">
        <f t="shared" si="20"/>
        <v>46387</v>
      </c>
      <c r="H149" s="85">
        <f t="shared" si="20"/>
        <v>46752</v>
      </c>
      <c r="I149" s="85">
        <f t="shared" si="20"/>
        <v>47118</v>
      </c>
      <c r="J149" s="85">
        <f t="shared" si="20"/>
        <v>47483</v>
      </c>
      <c r="K149" s="85">
        <f t="shared" si="20"/>
        <v>47848</v>
      </c>
    </row>
    <row r="150" spans="3:13" ht="15.75" customHeight="1">
      <c r="C150" s="72"/>
    </row>
    <row r="151" spans="3:13" ht="15.75" customHeight="1">
      <c r="C151" s="26" t="s">
        <v>187</v>
      </c>
    </row>
    <row r="152" spans="3:13" ht="15.75" customHeight="1">
      <c r="C152" s="44" t="s">
        <v>188</v>
      </c>
      <c r="E152" s="91"/>
      <c r="F152" s="91"/>
      <c r="G152" s="91">
        <f>F49</f>
        <v>289717</v>
      </c>
      <c r="H152" s="91">
        <f>G49</f>
        <v>100000</v>
      </c>
      <c r="I152" s="91">
        <f>H49</f>
        <v>100000</v>
      </c>
      <c r="J152" s="91">
        <f>I49</f>
        <v>100000</v>
      </c>
      <c r="K152" s="91">
        <f>J49</f>
        <v>100000</v>
      </c>
      <c r="M152" t="s">
        <v>412</v>
      </c>
    </row>
    <row r="153" spans="3:13" ht="15.75" customHeight="1">
      <c r="C153" s="44" t="s">
        <v>189</v>
      </c>
      <c r="F153" s="91"/>
      <c r="G153" s="298">
        <v>-100000</v>
      </c>
      <c r="H153" s="298">
        <v>-100000</v>
      </c>
      <c r="I153" s="298">
        <v>-100000</v>
      </c>
      <c r="J153" s="298">
        <v>-100000</v>
      </c>
      <c r="K153" s="298">
        <v>-100000</v>
      </c>
      <c r="M153" t="s">
        <v>413</v>
      </c>
    </row>
    <row r="154" spans="3:13" ht="15.75" customHeight="1">
      <c r="C154" s="108" t="s">
        <v>190</v>
      </c>
      <c r="D154" s="122"/>
      <c r="E154" s="122"/>
      <c r="F154" s="122"/>
      <c r="G154" s="110">
        <f>G105+G108+G110+G112+G113</f>
        <v>84678.44567286782</v>
      </c>
      <c r="H154" s="110">
        <f>H105+H108+H110+H112+H113</f>
        <v>772419.76636048255</v>
      </c>
      <c r="I154" s="110">
        <f>I105+I108+I110+I112+I113</f>
        <v>896779.77623257029</v>
      </c>
      <c r="J154" s="110">
        <f>J105+J108+J110+J112+J113</f>
        <v>1019097.1767318685</v>
      </c>
      <c r="K154" s="110">
        <f>K105+K108+K110+K112+K113</f>
        <v>1135033.7410007811</v>
      </c>
      <c r="M154" t="s">
        <v>414</v>
      </c>
    </row>
    <row r="155" spans="3:13" ht="15.75" customHeight="1">
      <c r="C155" s="111" t="s">
        <v>191</v>
      </c>
      <c r="F155" s="91"/>
      <c r="G155" s="91">
        <f>SUM(G152:G154)</f>
        <v>274395.44567286782</v>
      </c>
      <c r="H155" s="91">
        <f>SUM(H152:H154)</f>
        <v>772419.76636048255</v>
      </c>
      <c r="I155" s="91">
        <f>SUM(I152:I154)</f>
        <v>896779.77623257029</v>
      </c>
      <c r="J155" s="91">
        <f>SUM(J152:J154)</f>
        <v>1019097.1767318685</v>
      </c>
      <c r="K155" s="91">
        <f>SUM(K152:K154)</f>
        <v>1135033.7410007811</v>
      </c>
    </row>
    <row r="156" spans="3:13" ht="15.75" customHeight="1">
      <c r="C156" s="44"/>
      <c r="G156" s="123"/>
      <c r="H156" s="123"/>
      <c r="I156" s="123"/>
      <c r="J156" s="123"/>
      <c r="K156" s="123"/>
    </row>
    <row r="157" spans="3:13" ht="15.75" customHeight="1">
      <c r="C157" s="72" t="s">
        <v>192</v>
      </c>
    </row>
    <row r="158" spans="3:13" ht="15.75" customHeight="1">
      <c r="C158" s="44" t="s">
        <v>170</v>
      </c>
      <c r="G158" s="91"/>
      <c r="H158" s="91"/>
      <c r="I158" s="91"/>
      <c r="J158" s="91"/>
      <c r="K158" s="91"/>
      <c r="M158" t="s">
        <v>397</v>
      </c>
    </row>
    <row r="159" spans="3:13" ht="15.75" customHeight="1">
      <c r="C159" s="44" t="s">
        <v>193</v>
      </c>
      <c r="G159" s="91"/>
      <c r="H159" s="91"/>
      <c r="I159" s="91"/>
      <c r="J159" s="91"/>
      <c r="K159" s="91"/>
      <c r="M159" t="s">
        <v>415</v>
      </c>
    </row>
    <row r="160" spans="3:13" ht="15.75" customHeight="1">
      <c r="C160" s="108" t="s">
        <v>194</v>
      </c>
      <c r="D160" s="122"/>
      <c r="E160" s="122"/>
      <c r="F160" s="122"/>
      <c r="G160" s="109"/>
      <c r="H160" s="109"/>
      <c r="I160" s="109"/>
      <c r="J160" s="109"/>
      <c r="K160" s="109"/>
      <c r="M160" t="s">
        <v>413</v>
      </c>
    </row>
    <row r="161" spans="3:13" ht="15.75" customHeight="1">
      <c r="C161" s="124" t="s">
        <v>175</v>
      </c>
      <c r="D161" s="125"/>
      <c r="E161" s="125"/>
      <c r="F161" s="125"/>
      <c r="G161" s="125"/>
      <c r="H161" s="125"/>
      <c r="I161" s="125"/>
      <c r="J161" s="125"/>
      <c r="K161" s="125"/>
    </row>
    <row r="162" spans="3:13" ht="15.75" customHeight="1">
      <c r="C162" s="127" t="s">
        <v>195</v>
      </c>
      <c r="D162" s="129"/>
      <c r="E162" s="129"/>
      <c r="F162" s="299"/>
      <c r="G162" s="300"/>
      <c r="H162" s="300"/>
      <c r="I162" s="300"/>
      <c r="J162" s="300"/>
      <c r="K162" s="301"/>
    </row>
    <row r="163" spans="3:13" ht="15.75" customHeight="1">
      <c r="D163" s="91"/>
      <c r="E163" s="91"/>
      <c r="F163" s="133"/>
      <c r="G163" s="134"/>
      <c r="H163" s="134"/>
      <c r="I163" s="134"/>
      <c r="J163" s="134"/>
      <c r="K163" s="134"/>
    </row>
    <row r="164" spans="3:13" ht="15.75" customHeight="1">
      <c r="C164" s="57" t="s">
        <v>196</v>
      </c>
      <c r="D164" s="116"/>
      <c r="E164" s="116"/>
      <c r="F164" s="116"/>
      <c r="G164" s="135"/>
      <c r="H164" s="135"/>
      <c r="I164" s="135"/>
      <c r="J164" s="135"/>
      <c r="K164" s="135"/>
    </row>
    <row r="165" spans="3:13" ht="15.75" customHeight="1">
      <c r="C165" s="79" t="str">
        <f t="shared" ref="C165:K165" si="21">C14</f>
        <v xml:space="preserve">Fiscal year  </v>
      </c>
      <c r="D165" s="81">
        <f t="shared" si="21"/>
        <v>2023</v>
      </c>
      <c r="E165" s="81">
        <f t="shared" si="21"/>
        <v>2024</v>
      </c>
      <c r="F165" s="81">
        <f t="shared" si="21"/>
        <v>2025</v>
      </c>
      <c r="G165" s="83">
        <f t="shared" si="21"/>
        <v>2026</v>
      </c>
      <c r="H165" s="83">
        <f t="shared" si="21"/>
        <v>2027</v>
      </c>
      <c r="I165" s="83">
        <f t="shared" si="21"/>
        <v>2028</v>
      </c>
      <c r="J165" s="83">
        <f t="shared" si="21"/>
        <v>2029</v>
      </c>
      <c r="K165" s="83">
        <f t="shared" si="21"/>
        <v>2030</v>
      </c>
    </row>
    <row r="166" spans="3:13" ht="15.75" customHeight="1">
      <c r="C166" s="6" t="str">
        <f t="shared" ref="C166:K166" si="22">C15</f>
        <v>Fiscal year end date</v>
      </c>
      <c r="D166" s="85">
        <f t="shared" si="22"/>
        <v>45291</v>
      </c>
      <c r="E166" s="85">
        <f t="shared" si="22"/>
        <v>45657</v>
      </c>
      <c r="F166" s="85">
        <f t="shared" si="22"/>
        <v>46022</v>
      </c>
      <c r="G166" s="85">
        <f t="shared" si="22"/>
        <v>46387</v>
      </c>
      <c r="H166" s="85">
        <f t="shared" si="22"/>
        <v>46752</v>
      </c>
      <c r="I166" s="85">
        <f t="shared" si="22"/>
        <v>47118</v>
      </c>
      <c r="J166" s="85">
        <f t="shared" si="22"/>
        <v>47483</v>
      </c>
      <c r="K166" s="85">
        <f t="shared" si="22"/>
        <v>47848</v>
      </c>
    </row>
    <row r="167" spans="3:13" ht="15.75" customHeight="1">
      <c r="C167" s="44"/>
      <c r="D167" s="91"/>
      <c r="E167" s="91"/>
      <c r="F167" s="91"/>
      <c r="G167" s="136"/>
      <c r="H167" s="136"/>
      <c r="I167" s="136"/>
      <c r="J167" s="136"/>
      <c r="K167" s="136"/>
    </row>
    <row r="168" spans="3:13" ht="15.75" customHeight="1">
      <c r="C168" s="95" t="s">
        <v>197</v>
      </c>
      <c r="D168" s="91"/>
      <c r="E168" s="91"/>
      <c r="F168" s="91"/>
      <c r="G168" s="91"/>
      <c r="H168" s="91"/>
      <c r="I168" s="91"/>
      <c r="J168" s="91"/>
      <c r="K168" s="91"/>
      <c r="M168" t="s">
        <v>416</v>
      </c>
    </row>
    <row r="169" spans="3:13" ht="15.75" customHeight="1">
      <c r="C169" s="137"/>
    </row>
    <row r="170" spans="3:13" ht="15.75" customHeight="1">
      <c r="C170" s="138" t="s">
        <v>198</v>
      </c>
    </row>
    <row r="171" spans="3:13" ht="15.75" customHeight="1">
      <c r="C171" s="44" t="s">
        <v>199</v>
      </c>
      <c r="E171" s="302"/>
      <c r="F171" s="302"/>
      <c r="G171" s="303"/>
      <c r="H171" s="303"/>
      <c r="I171" s="303"/>
      <c r="J171" s="303"/>
      <c r="K171" s="303"/>
      <c r="M171" t="s">
        <v>417</v>
      </c>
    </row>
    <row r="172" spans="3:13" ht="15.75" customHeight="1">
      <c r="C172" s="44" t="s">
        <v>200</v>
      </c>
      <c r="D172" s="91"/>
      <c r="E172" s="91"/>
      <c r="F172" s="91"/>
      <c r="G172" s="91"/>
      <c r="H172" s="91"/>
      <c r="I172" s="91"/>
      <c r="J172" s="91"/>
      <c r="K172" s="91"/>
      <c r="M172" t="s">
        <v>418</v>
      </c>
    </row>
    <row r="173" spans="3:13" ht="15.75" customHeight="1">
      <c r="C173" s="139" t="s">
        <v>201</v>
      </c>
      <c r="D173" s="140"/>
      <c r="E173" s="140"/>
      <c r="F173" s="140"/>
      <c r="G173" s="140"/>
      <c r="H173" s="140"/>
      <c r="I173" s="140"/>
      <c r="J173" s="140"/>
      <c r="K173" s="140"/>
      <c r="M173" t="s">
        <v>419</v>
      </c>
    </row>
    <row r="174" spans="3:13" ht="15.75" customHeight="1">
      <c r="C174" s="89"/>
      <c r="D174" s="91"/>
      <c r="E174" s="91"/>
      <c r="F174" s="91"/>
    </row>
    <row r="175" spans="3:13" ht="15.75" customHeight="1">
      <c r="C175" s="138" t="s">
        <v>131</v>
      </c>
      <c r="D175" s="91"/>
      <c r="E175" s="91"/>
      <c r="F175" s="91"/>
    </row>
    <row r="176" spans="3:13" ht="15.75" customHeight="1">
      <c r="C176" s="44" t="s">
        <v>200</v>
      </c>
      <c r="D176" s="91"/>
      <c r="E176" s="91"/>
      <c r="F176" s="91"/>
      <c r="G176" s="91"/>
      <c r="H176" s="91"/>
      <c r="I176" s="91"/>
      <c r="J176" s="91"/>
      <c r="K176" s="91"/>
      <c r="M176" t="s">
        <v>395</v>
      </c>
    </row>
    <row r="177" spans="3:13" ht="15.75" customHeight="1">
      <c r="C177" s="44" t="s">
        <v>199</v>
      </c>
      <c r="E177" s="118"/>
      <c r="F177" s="118"/>
      <c r="G177" s="304"/>
      <c r="H177" s="304"/>
      <c r="I177" s="304"/>
      <c r="J177" s="304"/>
      <c r="K177" s="304"/>
      <c r="M177" t="s">
        <v>417</v>
      </c>
    </row>
    <row r="178" spans="3:13" ht="15.75" customHeight="1">
      <c r="C178" s="111" t="s">
        <v>74</v>
      </c>
      <c r="D178" s="102"/>
      <c r="E178" s="102"/>
      <c r="F178" s="102"/>
      <c r="G178" s="98"/>
      <c r="H178" s="98"/>
      <c r="I178" s="98"/>
      <c r="J178" s="98"/>
      <c r="K178" s="98"/>
      <c r="M178" t="s">
        <v>420</v>
      </c>
    </row>
    <row r="179" spans="3:13" ht="15.75" customHeight="1">
      <c r="C179" s="111"/>
      <c r="D179" s="102"/>
      <c r="E179" s="102"/>
      <c r="F179" s="102"/>
      <c r="G179" s="102"/>
      <c r="H179" s="102"/>
      <c r="I179" s="102"/>
      <c r="J179" s="102"/>
      <c r="K179" s="102"/>
    </row>
    <row r="180" spans="3:13" ht="15.75" customHeight="1">
      <c r="C180" s="137" t="s">
        <v>202</v>
      </c>
      <c r="E180" s="91"/>
      <c r="F180" s="91"/>
    </row>
    <row r="181" spans="3:13" ht="15.75" customHeight="1">
      <c r="C181" s="44" t="s">
        <v>203</v>
      </c>
      <c r="D181" s="305"/>
      <c r="E181" s="302"/>
      <c r="F181" s="302"/>
      <c r="G181" s="303"/>
      <c r="H181" s="303"/>
      <c r="I181" s="303"/>
      <c r="J181" s="303"/>
      <c r="K181" s="303"/>
      <c r="M181" t="s">
        <v>417</v>
      </c>
    </row>
    <row r="182" spans="3:13" ht="15.75" customHeight="1">
      <c r="C182" s="44" t="s">
        <v>73</v>
      </c>
      <c r="D182" s="91"/>
      <c r="E182" s="91"/>
      <c r="F182" s="91"/>
      <c r="G182" s="91"/>
      <c r="H182" s="91"/>
      <c r="I182" s="91"/>
      <c r="J182" s="91"/>
      <c r="K182" s="91"/>
      <c r="M182" t="s">
        <v>421</v>
      </c>
    </row>
  </sheetData>
  <mergeCells count="1">
    <mergeCell ref="G121:K121"/>
  </mergeCells>
  <conditionalFormatting sqref="C41">
    <cfRule type="expression" dxfId="1" priority="2">
      <formula>#REF!=$C41</formula>
    </cfRule>
  </conditionalFormatting>
  <dataValidations count="2">
    <dataValidation type="list" allowBlank="1" showInputMessage="1" showErrorMessage="1" sqref="C3" xr:uid="{00000000-0002-0000-0A00-000000000000}">
      <formula1>"$ bns except per share,$ mm except per share,$ in thousands except per share"</formula1>
      <formula2>0</formula2>
    </dataValidation>
    <dataValidation type="list" allowBlank="1" showInputMessage="1" showErrorMessage="1" sqref="D7" xr:uid="{00000000-0002-0000-0A00-000001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O176"/>
  <sheetViews>
    <sheetView showGridLines="0" zoomScaleNormal="100" workbookViewId="0">
      <selection activeCell="N98" sqref="N98"/>
    </sheetView>
  </sheetViews>
  <sheetFormatPr baseColWidth="10" defaultColWidth="11" defaultRowHeight="16"/>
  <cols>
    <col min="1" max="1" width="2.5" customWidth="1"/>
    <col min="2" max="2" width="2.1640625" customWidth="1"/>
    <col min="3" max="3" width="26.1640625" customWidth="1"/>
    <col min="4" max="4" width="12.6640625" customWidth="1"/>
    <col min="7" max="7" width="12.5" customWidth="1"/>
    <col min="12" max="12" width="2.1640625" customWidth="1"/>
  </cols>
  <sheetData>
    <row r="1" spans="2:15" ht="16.5" customHeight="1"/>
    <row r="2" spans="2:15" ht="16.5" customHeight="1">
      <c r="B2" t="s">
        <v>0</v>
      </c>
      <c r="C2" s="2" t="str">
        <f>"Financial Statement Model for "&amp;D5</f>
        <v>Financial Statement Model for StandardAero</v>
      </c>
      <c r="D2" s="3"/>
      <c r="E2" s="3"/>
      <c r="F2" s="3"/>
      <c r="G2" s="3"/>
      <c r="H2" s="3"/>
      <c r="I2" s="3"/>
      <c r="J2" s="3"/>
      <c r="K2" s="3"/>
    </row>
    <row r="3" spans="2:15" ht="15.75" customHeight="1">
      <c r="C3" s="4" t="s">
        <v>1</v>
      </c>
      <c r="D3" s="5"/>
      <c r="E3" s="5"/>
      <c r="F3" s="5"/>
      <c r="G3" s="5"/>
      <c r="H3" s="5"/>
    </row>
    <row r="5" spans="2:15" ht="15.75" customHeight="1">
      <c r="C5" s="282" t="s">
        <v>3</v>
      </c>
      <c r="D5" s="283" t="s">
        <v>4</v>
      </c>
    </row>
    <row r="6" spans="2:15" ht="15.75" customHeight="1">
      <c r="C6" s="282" t="s">
        <v>5</v>
      </c>
      <c r="D6" s="283" t="s">
        <v>6</v>
      </c>
    </row>
    <row r="7" spans="2:15" ht="15.75" customHeight="1">
      <c r="C7" t="s">
        <v>377</v>
      </c>
      <c r="D7" s="292">
        <v>1</v>
      </c>
    </row>
    <row r="8" spans="2:15" ht="15.75" customHeight="1">
      <c r="C8" t="s">
        <v>7</v>
      </c>
      <c r="D8" s="284">
        <v>25.59</v>
      </c>
    </row>
    <row r="9" spans="2:15" ht="15.75" customHeight="1">
      <c r="C9" t="s">
        <v>8</v>
      </c>
      <c r="D9" s="285">
        <v>46119</v>
      </c>
    </row>
    <row r="10" spans="2:15" ht="15.75" customHeight="1">
      <c r="C10" s="282" t="s">
        <v>9</v>
      </c>
      <c r="D10" s="286">
        <v>46022</v>
      </c>
    </row>
    <row r="11" spans="2:15" ht="15.75" customHeight="1">
      <c r="C11" t="s">
        <v>10</v>
      </c>
      <c r="D11" s="287">
        <v>334321</v>
      </c>
    </row>
    <row r="13" spans="2:15" ht="15.75" customHeight="1">
      <c r="B13" t="s">
        <v>0</v>
      </c>
      <c r="C13" s="57" t="s">
        <v>61</v>
      </c>
      <c r="D13" s="6"/>
      <c r="E13" s="6"/>
      <c r="F13" s="6"/>
      <c r="G13" s="6"/>
      <c r="H13" s="6"/>
      <c r="I13" s="6"/>
      <c r="J13" s="6"/>
      <c r="K13" s="6"/>
    </row>
    <row r="14" spans="2:15" ht="15.75" customHeight="1">
      <c r="C14" t="s">
        <v>22</v>
      </c>
      <c r="D14" s="58">
        <f>E14-1</f>
        <v>2023</v>
      </c>
      <c r="E14" s="58">
        <f>F14-1</f>
        <v>2024</v>
      </c>
      <c r="F14" s="58">
        <f>YEAR(D10)</f>
        <v>2025</v>
      </c>
      <c r="G14" s="59">
        <f>F14+1</f>
        <v>2026</v>
      </c>
      <c r="H14" s="59">
        <f>G14+1</f>
        <v>2027</v>
      </c>
      <c r="I14" s="59">
        <f>H14+1</f>
        <v>2028</v>
      </c>
      <c r="J14" s="59">
        <f>I14+1</f>
        <v>2029</v>
      </c>
      <c r="K14" s="59">
        <f>J14+1</f>
        <v>2030</v>
      </c>
    </row>
    <row r="15" spans="2:15" ht="15.75" customHeight="1">
      <c r="C15" s="30" t="s">
        <v>23</v>
      </c>
      <c r="D15" s="31">
        <f>EOMONTH(E15,-12)</f>
        <v>45291</v>
      </c>
      <c r="E15" s="31">
        <f>EOMONTH(F15,-12)</f>
        <v>45657</v>
      </c>
      <c r="F15" s="31">
        <f>D10</f>
        <v>46022</v>
      </c>
      <c r="G15" s="31">
        <f>EOMONTH(F15,12)</f>
        <v>46387</v>
      </c>
      <c r="H15" s="31">
        <f>EOMONTH(G15,12)</f>
        <v>46752</v>
      </c>
      <c r="I15" s="31">
        <f>EOMONTH(H15,12)</f>
        <v>47118</v>
      </c>
      <c r="J15" s="31">
        <f>EOMONTH(I15,12)</f>
        <v>47483</v>
      </c>
      <c r="K15" s="31">
        <f>EOMONTH(J15,12)</f>
        <v>47848</v>
      </c>
      <c r="M15" s="57" t="s">
        <v>2</v>
      </c>
      <c r="N15" s="6"/>
      <c r="O15" s="6"/>
    </row>
    <row r="16" spans="2:15" ht="15.75" customHeight="1">
      <c r="C16" s="60"/>
      <c r="D16" s="61"/>
      <c r="E16" s="62"/>
      <c r="F16" s="62"/>
      <c r="G16" s="63"/>
      <c r="H16" s="64"/>
      <c r="I16" s="64"/>
      <c r="J16" s="62"/>
      <c r="K16" s="62"/>
    </row>
    <row r="17" spans="3:14" ht="15.75" customHeight="1">
      <c r="C17" t="s">
        <v>386</v>
      </c>
      <c r="D17" s="49">
        <v>4563284</v>
      </c>
      <c r="E17" s="49">
        <v>5237161</v>
      </c>
      <c r="F17" s="49">
        <v>6062513</v>
      </c>
      <c r="G17" s="91">
        <f>F17*(1+G39)</f>
        <v>6971889.9499999993</v>
      </c>
      <c r="H17" s="91">
        <f>G17*(1+H39)</f>
        <v>7878235.6434999984</v>
      </c>
      <c r="I17" s="91">
        <f>H17*(1+I39)</f>
        <v>8823623.9207199998</v>
      </c>
      <c r="J17" s="91">
        <f>I17*(1+J39)</f>
        <v>9794222.5519992001</v>
      </c>
      <c r="K17" s="91">
        <f>J17*(1+K39)</f>
        <v>10773644.807199121</v>
      </c>
    </row>
    <row r="18" spans="3:14" ht="15.75" customHeight="1">
      <c r="C18" t="s">
        <v>66</v>
      </c>
      <c r="D18" s="49">
        <v>-3927965</v>
      </c>
      <c r="E18" s="49">
        <v>-4483019</v>
      </c>
      <c r="F18" s="49">
        <v>-5165060</v>
      </c>
      <c r="G18" s="91">
        <f>G19-G17</f>
        <v>-5912162.6775999991</v>
      </c>
      <c r="H18" s="91">
        <f>H19-H17</f>
        <v>-6657109.1187574985</v>
      </c>
      <c r="I18" s="91">
        <f>I19-I17</f>
        <v>-7411844.0934047997</v>
      </c>
      <c r="J18" s="91">
        <f>J19-J17</f>
        <v>-8197764.2760233302</v>
      </c>
      <c r="K18" s="91">
        <f>K19-K17</f>
        <v>-8995993.4140112661</v>
      </c>
    </row>
    <row r="19" spans="3:14" ht="15.75" customHeight="1">
      <c r="C19" s="72" t="s">
        <v>67</v>
      </c>
      <c r="D19" s="98">
        <f>SUM(D17:D18)</f>
        <v>635319</v>
      </c>
      <c r="E19" s="98">
        <f>SUM(E17:E18)</f>
        <v>754142</v>
      </c>
      <c r="F19" s="98">
        <f>SUM(F17:F18)</f>
        <v>897453</v>
      </c>
      <c r="G19" s="102">
        <f>G17*G40</f>
        <v>1059727.2723999999</v>
      </c>
      <c r="H19" s="102">
        <f>H17*H40</f>
        <v>1221126.5247424997</v>
      </c>
      <c r="I19" s="102">
        <f>I17*I40</f>
        <v>1411779.8273151999</v>
      </c>
      <c r="J19" s="102">
        <f>J17*J40</f>
        <v>1596458.2759758697</v>
      </c>
      <c r="K19" s="102">
        <f>K17*K40</f>
        <v>1777651.3931878549</v>
      </c>
    </row>
    <row r="20" spans="3:14" ht="15.75" customHeight="1">
      <c r="C20" t="s">
        <v>68</v>
      </c>
      <c r="D20" s="49">
        <v>-93681</v>
      </c>
      <c r="E20" s="49">
        <v>-95457</v>
      </c>
      <c r="F20" s="49">
        <v>-98681</v>
      </c>
      <c r="G20" s="49">
        <f>-121400*0.75</f>
        <v>-91050</v>
      </c>
      <c r="H20" s="49">
        <f>0.75*-111100</f>
        <v>-83325</v>
      </c>
      <c r="I20" s="49">
        <f>0.75*-109600</f>
        <v>-82200</v>
      </c>
      <c r="J20" s="49">
        <f>-106400*0.75</f>
        <v>-79800</v>
      </c>
      <c r="K20" s="49">
        <f>0.75*-105400</f>
        <v>-79050</v>
      </c>
      <c r="M20" t="s">
        <v>389</v>
      </c>
    </row>
    <row r="21" spans="3:14" ht="15.75" customHeight="1">
      <c r="C21" t="s">
        <v>70</v>
      </c>
      <c r="D21" s="49">
        <v>-202766</v>
      </c>
      <c r="E21" s="49">
        <v>-254092</v>
      </c>
      <c r="F21" s="49">
        <v>-247703</v>
      </c>
      <c r="G21" s="91">
        <f>-G17*G41</f>
        <v>-285847.48794999998</v>
      </c>
      <c r="H21" s="91">
        <f>-H17*H41</f>
        <v>-315129.42573999992</v>
      </c>
      <c r="I21" s="91">
        <f>-I17*I41</f>
        <v>-344121.33290808002</v>
      </c>
      <c r="J21" s="91">
        <f>-J17*J41</f>
        <v>-372180.4569759696</v>
      </c>
      <c r="K21" s="91">
        <f>-K17*K41</f>
        <v>-398624.85786636744</v>
      </c>
    </row>
    <row r="22" spans="3:14" ht="15.75" customHeight="1">
      <c r="C22" t="s">
        <v>71</v>
      </c>
      <c r="D22" s="49">
        <v>-1514</v>
      </c>
      <c r="E22" s="49">
        <v>-1374</v>
      </c>
      <c r="F22" s="49">
        <v>0</v>
      </c>
      <c r="G22" s="91">
        <f>F22</f>
        <v>0</v>
      </c>
      <c r="H22" s="91">
        <f>G22</f>
        <v>0</v>
      </c>
      <c r="I22" s="91">
        <f>H22</f>
        <v>0</v>
      </c>
      <c r="J22" s="91">
        <f>I22</f>
        <v>0</v>
      </c>
      <c r="K22" s="91">
        <f>J22</f>
        <v>0</v>
      </c>
    </row>
    <row r="23" spans="3:14" ht="15.75" customHeight="1">
      <c r="C23" s="72" t="s">
        <v>72</v>
      </c>
      <c r="D23" s="98">
        <f t="shared" ref="D23:K23" si="0">SUM(D19:D22)</f>
        <v>337358</v>
      </c>
      <c r="E23" s="98">
        <f t="shared" si="0"/>
        <v>403219</v>
      </c>
      <c r="F23" s="98">
        <f t="shared" si="0"/>
        <v>551069</v>
      </c>
      <c r="G23" s="102">
        <f t="shared" si="0"/>
        <v>682829.78444999992</v>
      </c>
      <c r="H23" s="102">
        <f t="shared" si="0"/>
        <v>822672.09900249983</v>
      </c>
      <c r="I23" s="102">
        <f t="shared" si="0"/>
        <v>985458.49440711993</v>
      </c>
      <c r="J23" s="102">
        <f t="shared" si="0"/>
        <v>1144477.8189999</v>
      </c>
      <c r="K23" s="102">
        <f t="shared" si="0"/>
        <v>1299976.5353214876</v>
      </c>
      <c r="M23" s="72"/>
    </row>
    <row r="24" spans="3:14" ht="15.75" customHeight="1">
      <c r="C24" t="s">
        <v>73</v>
      </c>
      <c r="D24" s="49">
        <v>0</v>
      </c>
      <c r="E24" s="49">
        <v>0</v>
      </c>
      <c r="F24" s="49">
        <v>0</v>
      </c>
      <c r="G24" s="91">
        <f ca="1">G176</f>
        <v>6287.8852636340598</v>
      </c>
      <c r="H24" s="91">
        <f ca="1">H176</f>
        <v>10928.07802558898</v>
      </c>
      <c r="I24" s="91">
        <f ca="1">I176</f>
        <v>17202.77262232899</v>
      </c>
      <c r="J24" s="91">
        <f ca="1">J176</f>
        <v>25229.141198387326</v>
      </c>
      <c r="K24" s="91">
        <f ca="1">K176</f>
        <v>35032.363787538918</v>
      </c>
    </row>
    <row r="25" spans="3:14" ht="15.75" customHeight="1">
      <c r="C25" t="s">
        <v>74</v>
      </c>
      <c r="D25" s="49">
        <v>-309645</v>
      </c>
      <c r="E25" s="49">
        <v>-282507</v>
      </c>
      <c r="F25" s="49">
        <v>-174217</v>
      </c>
      <c r="G25" s="91">
        <f ca="1">G162</f>
        <v>-149796.04400000002</v>
      </c>
      <c r="H25" s="91">
        <f ca="1">H162</f>
        <v>-148201.85200000001</v>
      </c>
      <c r="I25" s="91">
        <f ca="1">I162</f>
        <v>-146607.66</v>
      </c>
      <c r="J25" s="91">
        <f ca="1">J162</f>
        <v>-145013.46800000002</v>
      </c>
      <c r="K25" s="91">
        <f ca="1">K162</f>
        <v>-143419.27600000001</v>
      </c>
    </row>
    <row r="26" spans="3:14" ht="15.75" customHeight="1">
      <c r="C26" t="s">
        <v>76</v>
      </c>
      <c r="D26" s="49">
        <v>-19921</v>
      </c>
      <c r="E26" s="49">
        <v>-23700</v>
      </c>
      <c r="F26" s="49">
        <v>0</v>
      </c>
      <c r="G26" s="91">
        <f t="shared" ref="G26:K27" si="1">F26</f>
        <v>0</v>
      </c>
      <c r="H26" s="91">
        <f t="shared" si="1"/>
        <v>0</v>
      </c>
      <c r="I26" s="91">
        <f t="shared" si="1"/>
        <v>0</v>
      </c>
      <c r="J26" s="91">
        <f t="shared" si="1"/>
        <v>0</v>
      </c>
      <c r="K26" s="91">
        <f t="shared" si="1"/>
        <v>0</v>
      </c>
    </row>
    <row r="27" spans="3:14" ht="15.75" customHeight="1">
      <c r="C27" t="s">
        <v>77</v>
      </c>
      <c r="D27" s="49">
        <v>-6182</v>
      </c>
      <c r="E27" s="49">
        <v>-15255</v>
      </c>
      <c r="F27" s="49">
        <v>0</v>
      </c>
      <c r="G27" s="91">
        <f t="shared" si="1"/>
        <v>0</v>
      </c>
      <c r="H27" s="91">
        <f t="shared" si="1"/>
        <v>0</v>
      </c>
      <c r="I27" s="91">
        <f t="shared" si="1"/>
        <v>0</v>
      </c>
      <c r="J27" s="91">
        <f t="shared" si="1"/>
        <v>0</v>
      </c>
      <c r="K27" s="91">
        <f t="shared" si="1"/>
        <v>0</v>
      </c>
    </row>
    <row r="28" spans="3:14" ht="15.75" customHeight="1">
      <c r="C28" t="s">
        <v>78</v>
      </c>
      <c r="D28" s="49">
        <v>3509</v>
      </c>
      <c r="E28" s="49">
        <v>0</v>
      </c>
      <c r="F28" s="49">
        <v>0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</row>
    <row r="29" spans="3:14" ht="15.75" customHeight="1">
      <c r="C29" s="72" t="s">
        <v>79</v>
      </c>
      <c r="D29" s="98">
        <f t="shared" ref="D29:K29" si="2">SUM(D23:D28)</f>
        <v>5119</v>
      </c>
      <c r="E29" s="98">
        <f t="shared" si="2"/>
        <v>81757</v>
      </c>
      <c r="F29" s="98">
        <f t="shared" si="2"/>
        <v>376852</v>
      </c>
      <c r="G29" s="102">
        <f t="shared" ca="1" si="2"/>
        <v>539321.62571363396</v>
      </c>
      <c r="H29" s="102">
        <f t="shared" ca="1" si="2"/>
        <v>685398.32502808888</v>
      </c>
      <c r="I29" s="102">
        <f t="shared" ca="1" si="2"/>
        <v>856053.60702944885</v>
      </c>
      <c r="J29" s="102">
        <f t="shared" ca="1" si="2"/>
        <v>1024693.4921982874</v>
      </c>
      <c r="K29" s="102">
        <f t="shared" ca="1" si="2"/>
        <v>1191589.6231090263</v>
      </c>
      <c r="M29" s="72"/>
      <c r="N29" s="72"/>
    </row>
    <row r="30" spans="3:14" ht="15.75" customHeight="1">
      <c r="C30" t="s">
        <v>80</v>
      </c>
      <c r="D30" s="49">
        <v>-40180</v>
      </c>
      <c r="E30" s="49">
        <v>-70783</v>
      </c>
      <c r="F30" s="49">
        <v>-99435</v>
      </c>
      <c r="G30" s="91">
        <f ca="1">-G29*G42</f>
        <v>-134830.40642840849</v>
      </c>
      <c r="H30" s="91">
        <f ca="1">-H29*H42</f>
        <v>-171349.58125702222</v>
      </c>
      <c r="I30" s="91">
        <f ca="1">-I29*I42</f>
        <v>-214013.40175736221</v>
      </c>
      <c r="J30" s="91">
        <f ca="1">-J29*J42</f>
        <v>-256173.37304957185</v>
      </c>
      <c r="K30" s="91">
        <f ca="1">-K29*K42</f>
        <v>-297897.40577725659</v>
      </c>
    </row>
    <row r="31" spans="3:14" ht="15.75" customHeight="1">
      <c r="C31" s="72" t="s">
        <v>81</v>
      </c>
      <c r="D31" s="98">
        <f t="shared" ref="D31:K31" si="3">SUM(D29:D30)</f>
        <v>-35061</v>
      </c>
      <c r="E31" s="98">
        <f t="shared" si="3"/>
        <v>10974</v>
      </c>
      <c r="F31" s="98">
        <f t="shared" si="3"/>
        <v>277417</v>
      </c>
      <c r="G31" s="102">
        <f t="shared" ca="1" si="3"/>
        <v>404491.2192852255</v>
      </c>
      <c r="H31" s="102">
        <f t="shared" ca="1" si="3"/>
        <v>514048.74377106666</v>
      </c>
      <c r="I31" s="102">
        <f t="shared" ca="1" si="3"/>
        <v>642040.20527208666</v>
      </c>
      <c r="J31" s="102">
        <f t="shared" ca="1" si="3"/>
        <v>768520.11914871552</v>
      </c>
      <c r="K31" s="102">
        <f t="shared" ca="1" si="3"/>
        <v>893692.21733176976</v>
      </c>
      <c r="M31" s="72"/>
    </row>
    <row r="32" spans="3:14" ht="15.75" customHeight="1">
      <c r="C32" s="44"/>
      <c r="D32" s="91"/>
      <c r="E32" s="91"/>
      <c r="F32" s="91"/>
      <c r="G32" s="91"/>
      <c r="H32" s="91"/>
      <c r="I32" s="91"/>
      <c r="J32" s="91"/>
      <c r="K32" s="91"/>
    </row>
    <row r="33" spans="2:15" ht="15.75" customHeight="1">
      <c r="C33" s="95" t="s">
        <v>82</v>
      </c>
      <c r="D33" s="49">
        <v>197104</v>
      </c>
      <c r="E33" s="49">
        <v>188164</v>
      </c>
      <c r="F33" s="49">
        <v>193664</v>
      </c>
      <c r="G33" s="91">
        <f>G132</f>
        <v>172741.39999999997</v>
      </c>
      <c r="H33" s="91">
        <f>H132</f>
        <v>175636.28199999998</v>
      </c>
      <c r="I33" s="91">
        <f>I132</f>
        <v>185588.63584</v>
      </c>
      <c r="J33" s="91">
        <f>J132</f>
        <v>194561.3857824</v>
      </c>
      <c r="K33" s="91">
        <f>K132</f>
        <v>205287.52436064</v>
      </c>
    </row>
    <row r="34" spans="2:15" ht="15.75" customHeight="1">
      <c r="C34" s="97" t="s">
        <v>83</v>
      </c>
      <c r="D34" s="98">
        <f t="shared" ref="D34:K34" si="4">D23+D33</f>
        <v>534462</v>
      </c>
      <c r="E34" s="98">
        <f t="shared" si="4"/>
        <v>591383</v>
      </c>
      <c r="F34" s="98">
        <f t="shared" si="4"/>
        <v>744733</v>
      </c>
      <c r="G34" s="102">
        <f t="shared" si="4"/>
        <v>855571.18444999983</v>
      </c>
      <c r="H34" s="102">
        <f t="shared" si="4"/>
        <v>998308.38100249984</v>
      </c>
      <c r="I34" s="102">
        <f t="shared" si="4"/>
        <v>1171047.1302471198</v>
      </c>
      <c r="J34" s="102">
        <f t="shared" si="4"/>
        <v>1339039.2047822999</v>
      </c>
      <c r="K34" s="102">
        <f t="shared" si="4"/>
        <v>1505264.0596821276</v>
      </c>
      <c r="M34" s="72"/>
    </row>
    <row r="35" spans="2:15" ht="15.75" customHeight="1">
      <c r="C35" s="95" t="s">
        <v>85</v>
      </c>
      <c r="D35" s="49">
        <v>0</v>
      </c>
      <c r="E35" s="49">
        <v>0</v>
      </c>
      <c r="F35" s="49">
        <v>0</v>
      </c>
      <c r="G35" s="91">
        <v>0</v>
      </c>
      <c r="H35" s="91">
        <v>0</v>
      </c>
      <c r="I35" s="91">
        <v>0</v>
      </c>
      <c r="J35" s="91">
        <v>0</v>
      </c>
      <c r="K35" s="91">
        <v>0</v>
      </c>
    </row>
    <row r="36" spans="2:15" ht="15.75" customHeight="1">
      <c r="C36" s="97" t="s">
        <v>385</v>
      </c>
      <c r="D36" s="98">
        <f t="shared" ref="D36:K36" si="5">D34+D35</f>
        <v>534462</v>
      </c>
      <c r="E36" s="98">
        <f t="shared" si="5"/>
        <v>591383</v>
      </c>
      <c r="F36" s="98">
        <f t="shared" si="5"/>
        <v>744733</v>
      </c>
      <c r="G36" s="102">
        <f t="shared" si="5"/>
        <v>855571.18444999983</v>
      </c>
      <c r="H36" s="102">
        <f t="shared" si="5"/>
        <v>998308.38100249984</v>
      </c>
      <c r="I36" s="102">
        <f t="shared" si="5"/>
        <v>1171047.1302471198</v>
      </c>
      <c r="J36" s="102">
        <f t="shared" si="5"/>
        <v>1339039.2047822999</v>
      </c>
      <c r="K36" s="102">
        <f t="shared" si="5"/>
        <v>1505264.0596821276</v>
      </c>
      <c r="M36" s="72"/>
    </row>
    <row r="37" spans="2:15" ht="15.75" customHeight="1">
      <c r="C37" s="44"/>
      <c r="G37" s="294"/>
    </row>
    <row r="38" spans="2:15" ht="15.75" customHeight="1">
      <c r="C38" s="26" t="s">
        <v>21</v>
      </c>
    </row>
    <row r="39" spans="2:15" ht="15.75" customHeight="1">
      <c r="C39" s="44" t="s">
        <v>24</v>
      </c>
      <c r="D39" s="42"/>
      <c r="E39" s="42">
        <f>(E17-D17)/D17</f>
        <v>0.14767369289310067</v>
      </c>
      <c r="F39" s="42">
        <f>(F17-E17)/E17</f>
        <v>0.15759530783949549</v>
      </c>
      <c r="G39" s="43">
        <v>0.15</v>
      </c>
      <c r="H39" s="43">
        <v>0.13</v>
      </c>
      <c r="I39" s="43">
        <v>0.12</v>
      </c>
      <c r="J39" s="43">
        <v>0.11</v>
      </c>
      <c r="K39" s="43">
        <v>0.1</v>
      </c>
      <c r="M39" t="s">
        <v>25</v>
      </c>
      <c r="O39" s="43"/>
    </row>
    <row r="40" spans="2:15" ht="15.75" customHeight="1">
      <c r="C40" s="44" t="s">
        <v>32</v>
      </c>
      <c r="D40" s="42">
        <f>D19/D17</f>
        <v>0.13922407634501818</v>
      </c>
      <c r="E40" s="42">
        <f>E19/E17</f>
        <v>0.14399824637814265</v>
      </c>
      <c r="F40" s="42">
        <f>F19/F17</f>
        <v>0.14803316710413653</v>
      </c>
      <c r="G40" s="43">
        <v>0.152</v>
      </c>
      <c r="H40" s="43">
        <v>0.155</v>
      </c>
      <c r="I40" s="43">
        <v>0.16</v>
      </c>
      <c r="J40" s="43">
        <v>0.16300000000000001</v>
      </c>
      <c r="K40" s="43">
        <v>0.16500000000000001</v>
      </c>
      <c r="M40" t="s">
        <v>33</v>
      </c>
      <c r="O40" s="43"/>
    </row>
    <row r="41" spans="2:15" ht="15.75" customHeight="1">
      <c r="C41" s="44" t="s">
        <v>36</v>
      </c>
      <c r="D41" s="42">
        <f>-D21/D17</f>
        <v>4.4434227630802729E-2</v>
      </c>
      <c r="E41" s="42">
        <f>-E21/E17</f>
        <v>4.8517125977223158E-2</v>
      </c>
      <c r="F41" s="42">
        <f>-F21/F17</f>
        <v>4.0858139190794313E-2</v>
      </c>
      <c r="G41" s="43">
        <v>4.1000000000000002E-2</v>
      </c>
      <c r="H41" s="43">
        <v>0.04</v>
      </c>
      <c r="I41" s="43">
        <v>3.9E-2</v>
      </c>
      <c r="J41" s="43">
        <v>3.7999999999999999E-2</v>
      </c>
      <c r="K41" s="43">
        <v>3.6999999999999998E-2</v>
      </c>
      <c r="M41" t="s">
        <v>37</v>
      </c>
      <c r="O41" s="43"/>
    </row>
    <row r="42" spans="2:15" ht="15.75" customHeight="1">
      <c r="C42" s="44" t="s">
        <v>40</v>
      </c>
      <c r="D42" s="42">
        <f>-D30/D29</f>
        <v>7.8491892947841375</v>
      </c>
      <c r="E42" s="42">
        <f>-E30/E29</f>
        <v>0.86577296133664394</v>
      </c>
      <c r="F42" s="42">
        <f>-F30/F29</f>
        <v>0.26385689872947471</v>
      </c>
      <c r="G42" s="43">
        <v>0.25</v>
      </c>
      <c r="H42" s="43">
        <v>0.25</v>
      </c>
      <c r="I42" s="43">
        <v>0.25</v>
      </c>
      <c r="J42" s="43">
        <v>0.25</v>
      </c>
      <c r="K42" s="43">
        <v>0.25</v>
      </c>
      <c r="M42" t="s">
        <v>388</v>
      </c>
      <c r="O42" s="43"/>
    </row>
    <row r="43" spans="2:15" ht="15.75" customHeight="1">
      <c r="C43" s="44"/>
      <c r="G43" s="294"/>
    </row>
    <row r="44" spans="2:15" ht="15.75" customHeight="1">
      <c r="B44" t="s">
        <v>0</v>
      </c>
      <c r="C44" s="57" t="s">
        <v>97</v>
      </c>
      <c r="D44" s="31"/>
      <c r="E44" s="31"/>
      <c r="F44" s="31"/>
      <c r="G44" s="6"/>
      <c r="H44" s="6"/>
      <c r="I44" s="6"/>
      <c r="J44" s="6"/>
      <c r="K44" s="6"/>
    </row>
    <row r="45" spans="2:15" ht="15.75" customHeight="1">
      <c r="C45" s="79" t="str">
        <f t="shared" ref="C45:K45" si="6">C14</f>
        <v xml:space="preserve">Fiscal year  </v>
      </c>
      <c r="D45" s="80">
        <f t="shared" si="6"/>
        <v>2023</v>
      </c>
      <c r="E45" s="81">
        <f t="shared" si="6"/>
        <v>2024</v>
      </c>
      <c r="F45" s="81">
        <f t="shared" si="6"/>
        <v>2025</v>
      </c>
      <c r="G45" s="83">
        <f t="shared" si="6"/>
        <v>2026</v>
      </c>
      <c r="H45" s="83">
        <f t="shared" si="6"/>
        <v>2027</v>
      </c>
      <c r="I45" s="83">
        <f t="shared" si="6"/>
        <v>2028</v>
      </c>
      <c r="J45" s="83">
        <f t="shared" si="6"/>
        <v>2029</v>
      </c>
      <c r="K45" s="83">
        <f t="shared" si="6"/>
        <v>2030</v>
      </c>
    </row>
    <row r="46" spans="2:15" ht="15.75" customHeight="1">
      <c r="C46" s="6" t="str">
        <f t="shared" ref="C46:K46" si="7">C15</f>
        <v>Fiscal year end date</v>
      </c>
      <c r="D46" s="84">
        <f t="shared" si="7"/>
        <v>45291</v>
      </c>
      <c r="E46" s="85">
        <f t="shared" si="7"/>
        <v>45657</v>
      </c>
      <c r="F46" s="85">
        <f t="shared" si="7"/>
        <v>46022</v>
      </c>
      <c r="G46" s="85">
        <f t="shared" si="7"/>
        <v>46387</v>
      </c>
      <c r="H46" s="85">
        <f t="shared" si="7"/>
        <v>46752</v>
      </c>
      <c r="I46" s="85">
        <f t="shared" si="7"/>
        <v>47118</v>
      </c>
      <c r="J46" s="85">
        <f t="shared" si="7"/>
        <v>47483</v>
      </c>
      <c r="K46" s="85">
        <f t="shared" si="7"/>
        <v>47848</v>
      </c>
    </row>
    <row r="47" spans="2:15" ht="15.75" customHeight="1">
      <c r="C47" s="25" t="s">
        <v>99</v>
      </c>
      <c r="D47" s="86"/>
      <c r="E47" s="86"/>
      <c r="F47" s="86"/>
      <c r="G47" s="86"/>
      <c r="H47" s="86"/>
      <c r="I47" s="86"/>
      <c r="J47" s="86"/>
      <c r="K47" s="86"/>
    </row>
    <row r="48" spans="2:15" ht="15.75" customHeight="1">
      <c r="C48" s="25" t="s">
        <v>100</v>
      </c>
      <c r="D48" s="86"/>
      <c r="E48" s="86"/>
      <c r="F48" s="86"/>
      <c r="G48" s="86"/>
      <c r="H48" s="86"/>
      <c r="I48" s="86"/>
      <c r="J48" s="86"/>
      <c r="K48" s="86"/>
    </row>
    <row r="49" spans="3:15" ht="15.75" customHeight="1">
      <c r="C49" s="89" t="s">
        <v>101</v>
      </c>
      <c r="D49" s="49"/>
      <c r="E49" s="49">
        <v>102581</v>
      </c>
      <c r="F49" s="49">
        <v>289717</v>
      </c>
      <c r="G49" s="91">
        <f ca="1">F49+G116</f>
        <v>548667.70181787468</v>
      </c>
      <c r="H49" s="91">
        <f ca="1">G49+H116</f>
        <v>908409.36826065602</v>
      </c>
      <c r="I49" s="91">
        <f ca="1">H49+I116</f>
        <v>1385293.6480498761</v>
      </c>
      <c r="J49" s="91">
        <f ca="1">I49+J116</f>
        <v>1978591.8450684343</v>
      </c>
      <c r="K49" s="91">
        <f ca="1">J49+K116</f>
        <v>2692389.9932700885</v>
      </c>
    </row>
    <row r="50" spans="3:15" ht="15.75" customHeight="1">
      <c r="C50" s="89" t="s">
        <v>102</v>
      </c>
      <c r="D50" s="49"/>
      <c r="E50" s="49">
        <v>580668</v>
      </c>
      <c r="F50" s="49">
        <v>654390</v>
      </c>
      <c r="G50" s="91">
        <f>F50*(1+G39)</f>
        <v>752548.5</v>
      </c>
      <c r="H50" s="91">
        <f>G50*(1+H39)</f>
        <v>850379.80499999993</v>
      </c>
      <c r="I50" s="91">
        <f>H50*(1+I39)</f>
        <v>952425.38159999996</v>
      </c>
      <c r="J50" s="91">
        <f>I50*(1+J39)</f>
        <v>1057192.1735760001</v>
      </c>
      <c r="K50" s="91">
        <f>J50*(1+K39)</f>
        <v>1162911.3909336003</v>
      </c>
    </row>
    <row r="51" spans="3:15" ht="15.75" customHeight="1">
      <c r="C51" s="89" t="s">
        <v>103</v>
      </c>
      <c r="D51" s="49"/>
      <c r="E51" s="49">
        <v>915200</v>
      </c>
      <c r="F51" s="49">
        <v>1071703</v>
      </c>
      <c r="G51" s="91">
        <f>F51*(1+G39)</f>
        <v>1232458.45</v>
      </c>
      <c r="H51" s="91">
        <f>G51*(1+H39)</f>
        <v>1392678.0484999998</v>
      </c>
      <c r="I51" s="91">
        <f>H51*(1+I39)</f>
        <v>1559799.41432</v>
      </c>
      <c r="J51" s="91">
        <f>I51*(1+J39)</f>
        <v>1731377.3498952002</v>
      </c>
      <c r="K51" s="91">
        <f>J51*(1+K39)</f>
        <v>1904515.0848847204</v>
      </c>
    </row>
    <row r="52" spans="3:15" ht="15.75" customHeight="1">
      <c r="C52" s="89" t="s">
        <v>104</v>
      </c>
      <c r="D52" s="49"/>
      <c r="E52" s="49">
        <v>847018</v>
      </c>
      <c r="F52" s="49">
        <v>827691</v>
      </c>
      <c r="G52" s="91">
        <f>F52*(1+((G18-F18)/F18))</f>
        <v>947412.77715755883</v>
      </c>
      <c r="H52" s="91">
        <f>G52*(1+((H18-G18)/G18))</f>
        <v>1066789.0215435082</v>
      </c>
      <c r="I52" s="91">
        <f>H52*(1+((I18-H18)/H18))</f>
        <v>1187733.8597256008</v>
      </c>
      <c r="J52" s="91">
        <f>I52*(1+((J18-I18)/I18))</f>
        <v>1313676.0679229333</v>
      </c>
      <c r="K52" s="91">
        <f>J52*(1+((K18-J18)/J18))</f>
        <v>1441590.7627087389</v>
      </c>
    </row>
    <row r="53" spans="3:15" ht="15.75" customHeight="1">
      <c r="C53" s="89" t="s">
        <v>105</v>
      </c>
      <c r="D53" s="49"/>
      <c r="E53" s="49">
        <v>29707</v>
      </c>
      <c r="F53" s="49">
        <v>42776</v>
      </c>
      <c r="G53" s="91">
        <f>F53*(1+G39)</f>
        <v>49192.399999999994</v>
      </c>
      <c r="H53" s="91">
        <f>G53*(1+H39)</f>
        <v>55587.411999999989</v>
      </c>
      <c r="I53" s="91">
        <f>H53*(1+I39)</f>
        <v>62257.901439999994</v>
      </c>
      <c r="J53" s="91">
        <f>I53*(1+J39)</f>
        <v>69106.270598400006</v>
      </c>
      <c r="K53" s="91">
        <f>J53*(1+K39)</f>
        <v>76016.897658240006</v>
      </c>
    </row>
    <row r="54" spans="3:15" ht="15.75" customHeight="1">
      <c r="C54" s="89" t="s">
        <v>106</v>
      </c>
      <c r="D54" s="49"/>
      <c r="E54" s="49">
        <v>9960</v>
      </c>
      <c r="F54" s="49">
        <v>10182</v>
      </c>
      <c r="G54" s="91">
        <f>F54</f>
        <v>10182</v>
      </c>
      <c r="H54" s="91">
        <f>G54</f>
        <v>10182</v>
      </c>
      <c r="I54" s="91">
        <f>H54</f>
        <v>10182</v>
      </c>
      <c r="J54" s="91">
        <f>I54</f>
        <v>10182</v>
      </c>
      <c r="K54" s="91">
        <f>J54</f>
        <v>10182</v>
      </c>
    </row>
    <row r="55" spans="3:15" ht="15.75" customHeight="1">
      <c r="C55" s="93" t="s">
        <v>107</v>
      </c>
      <c r="D55" s="49"/>
      <c r="E55" s="98">
        <f t="shared" ref="E55:K55" si="8">SUM(E49:E54)</f>
        <v>2485134</v>
      </c>
      <c r="F55" s="98">
        <f t="shared" si="8"/>
        <v>2896459</v>
      </c>
      <c r="G55" s="98">
        <f t="shared" ca="1" si="8"/>
        <v>3540461.8289754339</v>
      </c>
      <c r="H55" s="98">
        <f t="shared" ca="1" si="8"/>
        <v>4284025.6553041637</v>
      </c>
      <c r="I55" s="98">
        <f t="shared" ca="1" si="8"/>
        <v>5157692.2051354768</v>
      </c>
      <c r="J55" s="98">
        <f t="shared" ca="1" si="8"/>
        <v>6160125.7070609685</v>
      </c>
      <c r="K55" s="98">
        <f t="shared" ca="1" si="8"/>
        <v>7287606.1294553876</v>
      </c>
    </row>
    <row r="56" spans="3:15" ht="15.75" customHeight="1">
      <c r="C56" t="s">
        <v>108</v>
      </c>
      <c r="D56" s="49"/>
      <c r="E56" s="49">
        <v>568607</v>
      </c>
      <c r="F56" s="49">
        <v>579971</v>
      </c>
      <c r="G56" s="91">
        <f>G125</f>
        <v>593039.6</v>
      </c>
      <c r="H56" s="91">
        <f>H125</f>
        <v>607807.1179999999</v>
      </c>
      <c r="I56" s="91">
        <f>I125</f>
        <v>624346.73815999983</v>
      </c>
      <c r="J56" s="91">
        <f>J125</f>
        <v>642705.7165375998</v>
      </c>
      <c r="K56" s="91">
        <f>K125</f>
        <v>662900.59275295981</v>
      </c>
      <c r="O56" s="91"/>
    </row>
    <row r="57" spans="3:15" ht="15.75" customHeight="1">
      <c r="C57" s="95" t="s">
        <v>109</v>
      </c>
      <c r="D57" s="49"/>
      <c r="E57" s="49">
        <v>172206</v>
      </c>
      <c r="F57" s="49">
        <v>222151</v>
      </c>
      <c r="G57" s="91">
        <f>F57</f>
        <v>222151</v>
      </c>
      <c r="H57" s="91">
        <f>G57</f>
        <v>222151</v>
      </c>
      <c r="I57" s="91">
        <f>H57</f>
        <v>222151</v>
      </c>
      <c r="J57" s="91">
        <f>I57</f>
        <v>222151</v>
      </c>
      <c r="K57" s="91">
        <f>J57</f>
        <v>222151</v>
      </c>
      <c r="O57" s="91"/>
    </row>
    <row r="58" spans="3:15" ht="15.75" customHeight="1">
      <c r="C58" s="95" t="s">
        <v>110</v>
      </c>
      <c r="D58" s="49"/>
      <c r="E58" s="49">
        <v>1004701</v>
      </c>
      <c r="F58" s="49">
        <v>920432</v>
      </c>
      <c r="G58" s="91">
        <f>F58+G20*64%</f>
        <v>862160</v>
      </c>
      <c r="H58" s="91">
        <f>G58+H20*64%</f>
        <v>808832</v>
      </c>
      <c r="I58" s="91">
        <f>H58+I20*64%</f>
        <v>756224</v>
      </c>
      <c r="J58" s="91">
        <f>I58+J20*64%</f>
        <v>705152</v>
      </c>
      <c r="K58" s="91">
        <f>J58+K20*64%</f>
        <v>654560</v>
      </c>
      <c r="O58" s="91"/>
    </row>
    <row r="59" spans="3:15" ht="15.75" customHeight="1">
      <c r="C59" s="95" t="s">
        <v>112</v>
      </c>
      <c r="D59" s="49"/>
      <c r="E59" s="49">
        <v>291487</v>
      </c>
      <c r="F59" s="49">
        <v>244877</v>
      </c>
      <c r="G59" s="91">
        <f>F59+G20*36%</f>
        <v>212099</v>
      </c>
      <c r="H59" s="91">
        <f>G59+H20*36%</f>
        <v>182102</v>
      </c>
      <c r="I59" s="91">
        <f>H59+I20*36%</f>
        <v>152510</v>
      </c>
      <c r="J59" s="91">
        <f>I59+J20*36%</f>
        <v>123782</v>
      </c>
      <c r="K59" s="91">
        <f>J59+K20*36%</f>
        <v>95324</v>
      </c>
    </row>
    <row r="60" spans="3:15" ht="15.75" customHeight="1">
      <c r="C60" s="95" t="s">
        <v>114</v>
      </c>
      <c r="D60" s="49"/>
      <c r="E60" s="49">
        <v>1685970</v>
      </c>
      <c r="F60" s="49">
        <v>1684255</v>
      </c>
      <c r="G60" s="91">
        <f t="shared" ref="G60:K61" si="9">F60</f>
        <v>1684255</v>
      </c>
      <c r="H60" s="91">
        <f t="shared" si="9"/>
        <v>1684255</v>
      </c>
      <c r="I60" s="91">
        <f t="shared" si="9"/>
        <v>1684255</v>
      </c>
      <c r="J60" s="91">
        <f t="shared" si="9"/>
        <v>1684255</v>
      </c>
      <c r="K60" s="91">
        <f t="shared" si="9"/>
        <v>1684255</v>
      </c>
    </row>
    <row r="61" spans="3:15" ht="15.75" customHeight="1">
      <c r="C61" s="95" t="s">
        <v>116</v>
      </c>
      <c r="D61" s="49"/>
      <c r="E61" s="49">
        <v>1079</v>
      </c>
      <c r="F61" s="49">
        <v>2832</v>
      </c>
      <c r="G61" s="91">
        <f t="shared" si="9"/>
        <v>2832</v>
      </c>
      <c r="H61" s="91">
        <f t="shared" si="9"/>
        <v>2832</v>
      </c>
      <c r="I61" s="91">
        <f t="shared" si="9"/>
        <v>2832</v>
      </c>
      <c r="J61" s="91">
        <f t="shared" si="9"/>
        <v>2832</v>
      </c>
      <c r="K61" s="91">
        <f t="shared" si="9"/>
        <v>2832</v>
      </c>
    </row>
    <row r="62" spans="3:15" ht="15.75" customHeight="1">
      <c r="C62" t="s">
        <v>117</v>
      </c>
      <c r="D62" s="49"/>
      <c r="E62" s="49">
        <v>4417</v>
      </c>
      <c r="F62" s="49">
        <v>6434</v>
      </c>
      <c r="G62" s="91">
        <f>F62*(1+G39)</f>
        <v>7399.0999999999995</v>
      </c>
      <c r="H62" s="91">
        <f>G62*(1+H39)</f>
        <v>8360.9829999999984</v>
      </c>
      <c r="I62" s="91">
        <f>H62*(1+I39)</f>
        <v>9364.3009599999987</v>
      </c>
      <c r="J62" s="91">
        <f>I62*(1+J39)</f>
        <v>10394.374065599999</v>
      </c>
      <c r="K62" s="91">
        <f>J62*(1+K39)</f>
        <v>11433.81147216</v>
      </c>
    </row>
    <row r="63" spans="3:15" ht="15.75" customHeight="1">
      <c r="C63" s="97" t="s">
        <v>118</v>
      </c>
      <c r="D63" s="98"/>
      <c r="E63" s="98">
        <f t="shared" ref="E63:K63" si="10">SUM(E55:E62)</f>
        <v>6213601</v>
      </c>
      <c r="F63" s="98">
        <f t="shared" si="10"/>
        <v>6557411</v>
      </c>
      <c r="G63" s="98">
        <f t="shared" ca="1" si="10"/>
        <v>7124397.5289754337</v>
      </c>
      <c r="H63" s="98">
        <f t="shared" ca="1" si="10"/>
        <v>7800365.7563041635</v>
      </c>
      <c r="I63" s="98">
        <f t="shared" ca="1" si="10"/>
        <v>8609375.2442554776</v>
      </c>
      <c r="J63" s="98">
        <f t="shared" ca="1" si="10"/>
        <v>9551397.7976641692</v>
      </c>
      <c r="K63" s="98">
        <f t="shared" ca="1" si="10"/>
        <v>10621062.533680508</v>
      </c>
    </row>
    <row r="64" spans="3:15" ht="15.75" customHeight="1">
      <c r="C64" s="74" t="s">
        <v>119</v>
      </c>
      <c r="D64" s="91"/>
      <c r="G64" s="91"/>
      <c r="H64" s="91"/>
      <c r="I64" s="91"/>
      <c r="J64" s="91"/>
      <c r="K64" s="91"/>
    </row>
    <row r="65" spans="3:11" ht="15.75" customHeight="1">
      <c r="C65" s="74" t="s">
        <v>120</v>
      </c>
      <c r="D65" s="91"/>
      <c r="G65" s="91"/>
      <c r="H65" s="91"/>
      <c r="I65" s="91"/>
      <c r="J65" s="91"/>
      <c r="K65" s="91"/>
    </row>
    <row r="66" spans="3:11" ht="15.75" customHeight="1">
      <c r="C66" s="89" t="s">
        <v>121</v>
      </c>
      <c r="D66" s="49"/>
      <c r="E66" s="49">
        <v>645701</v>
      </c>
      <c r="F66" s="49">
        <v>679772</v>
      </c>
      <c r="G66" s="91">
        <f>F66*(1+(G18-F18)/F18)</f>
        <v>778097.9596902082</v>
      </c>
      <c r="H66" s="91">
        <f>G66*(1+(H18-G18)/G18)</f>
        <v>876140.13774787169</v>
      </c>
      <c r="I66" s="91">
        <f>H66*(1+(I18-H18)/H18)</f>
        <v>975470.58176709816</v>
      </c>
      <c r="J66" s="91">
        <f>I66*(1+(J18-I18)/I18)</f>
        <v>1078905.3016694735</v>
      </c>
      <c r="K66" s="91">
        <f>J66*(1+(K18-J18)/J18)</f>
        <v>1183959.9995022838</v>
      </c>
    </row>
    <row r="67" spans="3:11" ht="15.75" customHeight="1">
      <c r="C67" s="89" t="s">
        <v>122</v>
      </c>
      <c r="D67" s="49"/>
      <c r="E67" s="49">
        <v>99572</v>
      </c>
      <c r="F67" s="49">
        <v>91499</v>
      </c>
      <c r="G67" s="91">
        <f>F67*(1+G39)</f>
        <v>105223.84999999999</v>
      </c>
      <c r="H67" s="91">
        <f>G67*(1+H39)</f>
        <v>118902.95049999998</v>
      </c>
      <c r="I67" s="91">
        <f>H67*(1+I39)</f>
        <v>133171.30455999999</v>
      </c>
      <c r="J67" s="91">
        <f>I67*(1+J39)</f>
        <v>147820.14806159999</v>
      </c>
      <c r="K67" s="91">
        <f>J67*(1+K39)</f>
        <v>162602.16286775999</v>
      </c>
    </row>
    <row r="68" spans="3:11" ht="15.75" customHeight="1">
      <c r="C68" s="89" t="s">
        <v>123</v>
      </c>
      <c r="D68" s="49"/>
      <c r="E68" s="49">
        <v>79134</v>
      </c>
      <c r="F68" s="49">
        <v>74008</v>
      </c>
      <c r="G68" s="91">
        <f>F68*(1+G39)</f>
        <v>85109.2</v>
      </c>
      <c r="H68" s="91">
        <f>G68*(1+H39)</f>
        <v>96173.395999999993</v>
      </c>
      <c r="I68" s="91">
        <f>H68*(1+I39)</f>
        <v>107714.20352000001</v>
      </c>
      <c r="J68" s="91">
        <f>I68*(1+J39)</f>
        <v>119562.76590720002</v>
      </c>
      <c r="K68" s="91">
        <f>J68*(1+K39)</f>
        <v>131519.04249792005</v>
      </c>
    </row>
    <row r="69" spans="3:11" ht="15.75" customHeight="1">
      <c r="C69" s="89" t="s">
        <v>124</v>
      </c>
      <c r="D69" s="49"/>
      <c r="E69" s="49">
        <v>17663</v>
      </c>
      <c r="F69" s="49">
        <v>22308</v>
      </c>
      <c r="G69" s="91">
        <f t="shared" ref="G69:K70" si="11">F69</f>
        <v>22308</v>
      </c>
      <c r="H69" s="91">
        <f t="shared" si="11"/>
        <v>22308</v>
      </c>
      <c r="I69" s="91">
        <f t="shared" si="11"/>
        <v>22308</v>
      </c>
      <c r="J69" s="91">
        <f t="shared" si="11"/>
        <v>22308</v>
      </c>
      <c r="K69" s="91">
        <f t="shared" si="11"/>
        <v>22308</v>
      </c>
    </row>
    <row r="70" spans="3:11" ht="15.75" customHeight="1">
      <c r="C70" s="89" t="s">
        <v>125</v>
      </c>
      <c r="D70" s="49"/>
      <c r="E70" s="49">
        <v>1345</v>
      </c>
      <c r="F70" s="49">
        <v>438</v>
      </c>
      <c r="G70" s="91">
        <f t="shared" si="11"/>
        <v>438</v>
      </c>
      <c r="H70" s="91">
        <f t="shared" si="11"/>
        <v>438</v>
      </c>
      <c r="I70" s="91">
        <f t="shared" si="11"/>
        <v>438</v>
      </c>
      <c r="J70" s="91">
        <f t="shared" si="11"/>
        <v>438</v>
      </c>
      <c r="K70" s="91">
        <f t="shared" si="11"/>
        <v>438</v>
      </c>
    </row>
    <row r="71" spans="3:11" ht="15.75" customHeight="1">
      <c r="C71" s="89" t="s">
        <v>126</v>
      </c>
      <c r="D71" s="49"/>
      <c r="E71" s="49">
        <v>400025</v>
      </c>
      <c r="F71" s="49">
        <v>411321</v>
      </c>
      <c r="G71" s="91">
        <f>F71*(1+G39)</f>
        <v>473019.14999999997</v>
      </c>
      <c r="H71" s="91">
        <f>G71*(1+H39)</f>
        <v>534511.63949999993</v>
      </c>
      <c r="I71" s="91">
        <f>H71*(1+I39)</f>
        <v>598653.03623999993</v>
      </c>
      <c r="J71" s="91">
        <f>I71*(1+J39)</f>
        <v>664504.87022639997</v>
      </c>
      <c r="K71" s="91">
        <f>J71*(1+K39)</f>
        <v>730955.35724904004</v>
      </c>
    </row>
    <row r="72" spans="3:11" ht="15.75" customHeight="1">
      <c r="C72" s="89" t="s">
        <v>127</v>
      </c>
      <c r="D72" s="49"/>
      <c r="E72" s="49">
        <v>6655</v>
      </c>
      <c r="F72" s="49">
        <v>13547</v>
      </c>
      <c r="G72" s="91">
        <f t="shared" ref="G72:K73" si="12">F72</f>
        <v>13547</v>
      </c>
      <c r="H72" s="91">
        <f t="shared" si="12"/>
        <v>13547</v>
      </c>
      <c r="I72" s="91">
        <f t="shared" si="12"/>
        <v>13547</v>
      </c>
      <c r="J72" s="91">
        <f t="shared" si="12"/>
        <v>13547</v>
      </c>
      <c r="K72" s="91">
        <f t="shared" si="12"/>
        <v>13547</v>
      </c>
    </row>
    <row r="73" spans="3:11" ht="15.75" customHeight="1">
      <c r="C73" s="89" t="s">
        <v>128</v>
      </c>
      <c r="D73" s="49"/>
      <c r="E73" s="49">
        <v>23449</v>
      </c>
      <c r="F73" s="49">
        <v>23444</v>
      </c>
      <c r="G73" s="91">
        <f t="shared" si="12"/>
        <v>23444</v>
      </c>
      <c r="H73" s="91">
        <f t="shared" si="12"/>
        <v>23444</v>
      </c>
      <c r="I73" s="91">
        <f t="shared" si="12"/>
        <v>23444</v>
      </c>
      <c r="J73" s="91">
        <f t="shared" si="12"/>
        <v>23444</v>
      </c>
      <c r="K73" s="91">
        <f t="shared" si="12"/>
        <v>23444</v>
      </c>
    </row>
    <row r="74" spans="3:11" ht="15.75" customHeight="1">
      <c r="C74" s="93" t="s">
        <v>130</v>
      </c>
      <c r="D74" s="49"/>
      <c r="E74" s="98">
        <f t="shared" ref="E74:K74" si="13">SUM(E66:E73)</f>
        <v>1273544</v>
      </c>
      <c r="F74" s="98">
        <f t="shared" si="13"/>
        <v>1316337</v>
      </c>
      <c r="G74" s="98">
        <f t="shared" si="13"/>
        <v>1501187.159690208</v>
      </c>
      <c r="H74" s="98">
        <f t="shared" si="13"/>
        <v>1685465.1237478717</v>
      </c>
      <c r="I74" s="98">
        <f t="shared" si="13"/>
        <v>1874746.1260870979</v>
      </c>
      <c r="J74" s="98">
        <f t="shared" si="13"/>
        <v>2070530.0858646736</v>
      </c>
      <c r="K74" s="98">
        <f t="shared" si="13"/>
        <v>2268773.5621170038</v>
      </c>
    </row>
    <row r="75" spans="3:11" ht="16.5" customHeight="1">
      <c r="C75" s="95" t="s">
        <v>131</v>
      </c>
      <c r="D75" s="49"/>
      <c r="E75" s="49">
        <v>2207977</v>
      </c>
      <c r="F75" s="49">
        <v>2191161</v>
      </c>
      <c r="G75" s="91">
        <f>F75-F73</f>
        <v>2167717</v>
      </c>
      <c r="H75" s="91">
        <f>G75-G73</f>
        <v>2144273</v>
      </c>
      <c r="I75" s="91">
        <f>H75-H73</f>
        <v>2120829</v>
      </c>
      <c r="J75" s="91">
        <f>I75-I73</f>
        <v>2097385</v>
      </c>
      <c r="K75" s="91">
        <f>J75-J73</f>
        <v>2073941</v>
      </c>
    </row>
    <row r="76" spans="3:11" ht="15.75" customHeight="1">
      <c r="C76" s="95" t="s">
        <v>133</v>
      </c>
      <c r="D76" s="49"/>
      <c r="E76" s="49">
        <v>164224</v>
      </c>
      <c r="F76" s="49">
        <v>212365</v>
      </c>
      <c r="G76" s="91">
        <f t="shared" ref="G76:K78" si="14">F76</f>
        <v>212365</v>
      </c>
      <c r="H76" s="91">
        <f t="shared" si="14"/>
        <v>212365</v>
      </c>
      <c r="I76" s="91">
        <f t="shared" si="14"/>
        <v>212365</v>
      </c>
      <c r="J76" s="91">
        <f t="shared" si="14"/>
        <v>212365</v>
      </c>
      <c r="K76" s="91">
        <f t="shared" si="14"/>
        <v>212365</v>
      </c>
    </row>
    <row r="77" spans="3:11" ht="15.75" customHeight="1">
      <c r="C77" s="95" t="s">
        <v>134</v>
      </c>
      <c r="D77" s="49"/>
      <c r="E77" s="49">
        <v>169824</v>
      </c>
      <c r="F77" s="49">
        <v>157206</v>
      </c>
      <c r="G77" s="91">
        <f t="shared" si="14"/>
        <v>157206</v>
      </c>
      <c r="H77" s="91">
        <f t="shared" si="14"/>
        <v>157206</v>
      </c>
      <c r="I77" s="91">
        <f t="shared" si="14"/>
        <v>157206</v>
      </c>
      <c r="J77" s="91">
        <f t="shared" si="14"/>
        <v>157206</v>
      </c>
      <c r="K77" s="91">
        <f t="shared" si="14"/>
        <v>157206</v>
      </c>
    </row>
    <row r="78" spans="3:11" ht="15.75" customHeight="1">
      <c r="C78" s="95" t="s">
        <v>135</v>
      </c>
      <c r="D78" s="49"/>
      <c r="E78" s="49">
        <v>0</v>
      </c>
      <c r="F78" s="49">
        <v>5770</v>
      </c>
      <c r="G78" s="91">
        <f t="shared" si="14"/>
        <v>5770</v>
      </c>
      <c r="H78" s="91">
        <f t="shared" si="14"/>
        <v>5770</v>
      </c>
      <c r="I78" s="91">
        <f t="shared" si="14"/>
        <v>5770</v>
      </c>
      <c r="J78" s="91">
        <f t="shared" si="14"/>
        <v>5770</v>
      </c>
      <c r="K78" s="91">
        <f t="shared" si="14"/>
        <v>5770</v>
      </c>
    </row>
    <row r="79" spans="3:11" ht="15.75" customHeight="1">
      <c r="C79" s="95" t="s">
        <v>136</v>
      </c>
      <c r="D79" s="49"/>
      <c r="E79" s="49">
        <v>24628</v>
      </c>
      <c r="F79" s="49">
        <v>7261</v>
      </c>
      <c r="G79" s="91">
        <f>F79*(1+G39)</f>
        <v>8350.15</v>
      </c>
      <c r="H79" s="91">
        <f>G79*(1+H39)</f>
        <v>9435.6694999999982</v>
      </c>
      <c r="I79" s="91">
        <f>H79*(1+I39)</f>
        <v>10567.949839999999</v>
      </c>
      <c r="J79" s="91">
        <f>I79*(1+J39)</f>
        <v>11730.4243224</v>
      </c>
      <c r="K79" s="91">
        <f>J79*(1+K39)</f>
        <v>12903.466754640001</v>
      </c>
    </row>
    <row r="80" spans="3:11" ht="15.75" customHeight="1">
      <c r="C80" s="97" t="s">
        <v>137</v>
      </c>
      <c r="D80" s="98"/>
      <c r="E80" s="98">
        <f t="shared" ref="E80:K80" si="15">SUM(E74:E79)</f>
        <v>3840197</v>
      </c>
      <c r="F80" s="98">
        <f t="shared" si="15"/>
        <v>3890100</v>
      </c>
      <c r="G80" s="98">
        <f t="shared" si="15"/>
        <v>4052595.3096902077</v>
      </c>
      <c r="H80" s="98">
        <f t="shared" si="15"/>
        <v>4214514.793247872</v>
      </c>
      <c r="I80" s="98">
        <f t="shared" si="15"/>
        <v>4381484.0759270974</v>
      </c>
      <c r="J80" s="98">
        <f t="shared" si="15"/>
        <v>4554986.5101870736</v>
      </c>
      <c r="K80" s="98">
        <f t="shared" si="15"/>
        <v>4730959.0288716443</v>
      </c>
    </row>
    <row r="81" spans="2:11" ht="15.75" customHeight="1">
      <c r="C81" s="97" t="s">
        <v>337</v>
      </c>
      <c r="D81" s="98"/>
      <c r="E81" s="49">
        <v>0</v>
      </c>
      <c r="F81" s="49">
        <v>0</v>
      </c>
      <c r="G81" s="102">
        <f ca="1">G155</f>
        <v>0</v>
      </c>
      <c r="H81" s="102">
        <f ca="1">H155</f>
        <v>0</v>
      </c>
      <c r="I81" s="102">
        <f ca="1">I155</f>
        <v>0</v>
      </c>
      <c r="J81" s="102">
        <f ca="1">J155</f>
        <v>0</v>
      </c>
      <c r="K81" s="102">
        <f ca="1">K155</f>
        <v>0</v>
      </c>
    </row>
    <row r="82" spans="2:11" ht="16.5" customHeight="1">
      <c r="C82" s="97" t="s">
        <v>139</v>
      </c>
      <c r="D82" s="98"/>
      <c r="E82" s="98"/>
      <c r="F82" s="98"/>
      <c r="G82" s="91"/>
      <c r="H82" s="91"/>
      <c r="I82" s="91"/>
      <c r="J82" s="91"/>
      <c r="K82" s="91"/>
    </row>
    <row r="83" spans="2:11" ht="15.75" customHeight="1">
      <c r="C83" s="89" t="s">
        <v>140</v>
      </c>
      <c r="D83" s="49"/>
      <c r="E83" s="49">
        <v>3345</v>
      </c>
      <c r="F83" s="49">
        <v>3345</v>
      </c>
      <c r="G83" s="91">
        <f>F83</f>
        <v>3345</v>
      </c>
      <c r="H83" s="91">
        <f>F83</f>
        <v>3345</v>
      </c>
      <c r="I83" s="91">
        <f>F83</f>
        <v>3345</v>
      </c>
      <c r="J83" s="91">
        <f>F83</f>
        <v>3345</v>
      </c>
      <c r="K83" s="91">
        <f>F83</f>
        <v>3345</v>
      </c>
    </row>
    <row r="84" spans="2:11" ht="15.75" customHeight="1">
      <c r="C84" s="89" t="s">
        <v>141</v>
      </c>
      <c r="D84" s="49"/>
      <c r="E84" s="49">
        <v>0</v>
      </c>
      <c r="F84" s="49">
        <v>0</v>
      </c>
      <c r="G84" s="91">
        <v>0</v>
      </c>
      <c r="H84" s="91">
        <v>0</v>
      </c>
      <c r="I84" s="91">
        <v>0</v>
      </c>
      <c r="J84" s="91">
        <v>0</v>
      </c>
      <c r="K84" s="91">
        <v>0</v>
      </c>
    </row>
    <row r="85" spans="2:11" ht="15.75" customHeight="1">
      <c r="C85" s="89" t="s">
        <v>379</v>
      </c>
      <c r="D85" s="49"/>
      <c r="E85" s="49">
        <v>3944802</v>
      </c>
      <c r="F85" s="49">
        <v>3958039</v>
      </c>
      <c r="G85" s="91">
        <f>F85</f>
        <v>3958039</v>
      </c>
      <c r="H85" s="91">
        <f>G85</f>
        <v>3958039</v>
      </c>
      <c r="I85" s="91">
        <f>H85</f>
        <v>3958039</v>
      </c>
      <c r="J85" s="91">
        <f>I85</f>
        <v>3958039</v>
      </c>
      <c r="K85" s="91">
        <f>J85</f>
        <v>3958039</v>
      </c>
    </row>
    <row r="86" spans="2:11" ht="15.75" customHeight="1">
      <c r="C86" s="89" t="s">
        <v>143</v>
      </c>
      <c r="D86" s="49"/>
      <c r="E86" s="49">
        <v>-1563321</v>
      </c>
      <c r="F86" s="49">
        <v>-1285904</v>
      </c>
      <c r="G86" s="91">
        <f ca="1">F86+G31</f>
        <v>-881412.7807147745</v>
      </c>
      <c r="H86" s="91">
        <f ca="1">G86+H31</f>
        <v>-367364.03694370785</v>
      </c>
      <c r="I86" s="91">
        <f ca="1">H86+I31</f>
        <v>274676.16832837882</v>
      </c>
      <c r="J86" s="91">
        <f ca="1">I86+J31</f>
        <v>1043196.2874770943</v>
      </c>
      <c r="K86" s="91">
        <f ca="1">J86+K31</f>
        <v>1936888.5048088641</v>
      </c>
    </row>
    <row r="87" spans="2:11" ht="15.75" customHeight="1">
      <c r="C87" s="89" t="s">
        <v>144</v>
      </c>
      <c r="D87" s="101"/>
      <c r="E87" s="49">
        <v>-11422</v>
      </c>
      <c r="F87" s="49">
        <v>-8169</v>
      </c>
      <c r="G87" s="91">
        <f>F87</f>
        <v>-8169</v>
      </c>
      <c r="H87" s="91">
        <f>F87</f>
        <v>-8169</v>
      </c>
      <c r="I87" s="91">
        <f>F87</f>
        <v>-8169</v>
      </c>
      <c r="J87" s="91">
        <f>F87</f>
        <v>-8169</v>
      </c>
      <c r="K87" s="91">
        <f>F87</f>
        <v>-8169</v>
      </c>
    </row>
    <row r="88" spans="2:11" ht="15.75" customHeight="1">
      <c r="C88" s="89" t="s">
        <v>145</v>
      </c>
      <c r="D88" s="49"/>
      <c r="E88" s="49">
        <v>0</v>
      </c>
      <c r="F88" s="49">
        <v>0</v>
      </c>
      <c r="G88" s="91">
        <v>0</v>
      </c>
      <c r="H88" s="91">
        <v>0</v>
      </c>
      <c r="I88" s="91">
        <v>0</v>
      </c>
      <c r="J88" s="91">
        <v>0</v>
      </c>
      <c r="K88" s="91">
        <v>0</v>
      </c>
    </row>
    <row r="89" spans="2:11" ht="15.75" customHeight="1">
      <c r="C89" s="93" t="s">
        <v>146</v>
      </c>
      <c r="D89" s="102"/>
      <c r="E89" s="102">
        <f t="shared" ref="E89:K89" si="16">SUM(E83:E88)</f>
        <v>2373404</v>
      </c>
      <c r="F89" s="102">
        <f t="shared" si="16"/>
        <v>2667311</v>
      </c>
      <c r="G89" s="102">
        <f t="shared" ca="1" si="16"/>
        <v>3071802.2192852255</v>
      </c>
      <c r="H89" s="102">
        <f t="shared" ca="1" si="16"/>
        <v>3585850.9630562924</v>
      </c>
      <c r="I89" s="102">
        <f t="shared" ca="1" si="16"/>
        <v>4227891.1683283783</v>
      </c>
      <c r="J89" s="102">
        <f t="shared" ca="1" si="16"/>
        <v>4996411.2874770947</v>
      </c>
      <c r="K89" s="102">
        <f t="shared" ca="1" si="16"/>
        <v>5890103.5048088636</v>
      </c>
    </row>
    <row r="90" spans="2:11" ht="15.75" customHeight="1">
      <c r="C90" s="97" t="s">
        <v>147</v>
      </c>
      <c r="D90" s="91"/>
      <c r="E90" s="91">
        <f t="shared" ref="E90:K90" si="17">SUM(E89,E80)</f>
        <v>6213601</v>
      </c>
      <c r="F90" s="91">
        <f t="shared" si="17"/>
        <v>6557411</v>
      </c>
      <c r="G90" s="91">
        <f t="shared" ca="1" si="17"/>
        <v>7124397.5289754327</v>
      </c>
      <c r="H90" s="91">
        <f t="shared" ca="1" si="17"/>
        <v>7800365.7563041644</v>
      </c>
      <c r="I90" s="91">
        <f t="shared" ca="1" si="17"/>
        <v>8609375.2442554757</v>
      </c>
      <c r="J90" s="91">
        <f t="shared" ca="1" si="17"/>
        <v>9551397.7976641692</v>
      </c>
      <c r="K90" s="91">
        <f t="shared" ca="1" si="17"/>
        <v>10621062.533680508</v>
      </c>
    </row>
    <row r="91" spans="2:11" ht="15.75" customHeight="1">
      <c r="C91" s="97"/>
      <c r="D91" s="91"/>
      <c r="E91" s="91"/>
      <c r="F91" s="91"/>
    </row>
    <row r="92" spans="2:11" ht="15.75" customHeight="1">
      <c r="C92" s="60" t="s">
        <v>148</v>
      </c>
      <c r="D92" s="103"/>
      <c r="E92" s="103">
        <f t="shared" ref="E92:K92" si="18">E63-E90</f>
        <v>0</v>
      </c>
      <c r="F92" s="103">
        <f t="shared" si="18"/>
        <v>0</v>
      </c>
      <c r="G92" s="103">
        <f t="shared" ca="1" si="18"/>
        <v>0</v>
      </c>
      <c r="H92" s="103">
        <f t="shared" ca="1" si="18"/>
        <v>0</v>
      </c>
      <c r="I92" s="103">
        <f t="shared" ca="1" si="18"/>
        <v>0</v>
      </c>
      <c r="J92" s="103">
        <f t="shared" ca="1" si="18"/>
        <v>0</v>
      </c>
      <c r="K92" s="103">
        <f t="shared" ca="1" si="18"/>
        <v>0</v>
      </c>
    </row>
    <row r="93" spans="2:11" ht="15.75" customHeight="1">
      <c r="E93" s="91"/>
      <c r="F93" s="91"/>
      <c r="H93" s="91"/>
      <c r="I93" s="91"/>
      <c r="J93" s="91"/>
      <c r="K93" s="91"/>
    </row>
    <row r="94" spans="2:11" ht="15.75" customHeight="1">
      <c r="B94" t="s">
        <v>0</v>
      </c>
      <c r="C94" s="57" t="s">
        <v>149</v>
      </c>
      <c r="D94" s="31"/>
      <c r="E94" s="31"/>
      <c r="F94" s="31"/>
      <c r="G94" s="31"/>
      <c r="H94" s="31"/>
      <c r="I94" s="31"/>
      <c r="J94" s="31"/>
      <c r="K94" s="31"/>
    </row>
    <row r="95" spans="2:11" ht="15.75" customHeight="1">
      <c r="C95" s="79" t="str">
        <f>C14</f>
        <v xml:space="preserve">Fiscal year  </v>
      </c>
      <c r="D95" s="81"/>
      <c r="E95" s="81"/>
      <c r="F95" s="81"/>
      <c r="G95" s="83">
        <f t="shared" ref="G95:K96" si="19">G14</f>
        <v>2026</v>
      </c>
      <c r="H95" s="83">
        <f t="shared" si="19"/>
        <v>2027</v>
      </c>
      <c r="I95" s="83">
        <f t="shared" si="19"/>
        <v>2028</v>
      </c>
      <c r="J95" s="83">
        <f t="shared" si="19"/>
        <v>2029</v>
      </c>
      <c r="K95" s="83">
        <f t="shared" si="19"/>
        <v>2030</v>
      </c>
    </row>
    <row r="96" spans="2:11" ht="15.75" customHeight="1">
      <c r="C96" s="6" t="str">
        <f>C15</f>
        <v>Fiscal year end date</v>
      </c>
      <c r="D96" s="85"/>
      <c r="E96" s="85"/>
      <c r="F96" s="85"/>
      <c r="G96" s="85">
        <f t="shared" si="19"/>
        <v>46387</v>
      </c>
      <c r="H96" s="85">
        <f t="shared" si="19"/>
        <v>46752</v>
      </c>
      <c r="I96" s="85">
        <f t="shared" si="19"/>
        <v>47118</v>
      </c>
      <c r="J96" s="85">
        <f t="shared" si="19"/>
        <v>47483</v>
      </c>
      <c r="K96" s="85">
        <f t="shared" si="19"/>
        <v>47848</v>
      </c>
    </row>
    <row r="98" spans="3:13" ht="15.75" customHeight="1">
      <c r="C98" t="s">
        <v>81</v>
      </c>
      <c r="D98" s="104"/>
      <c r="E98" s="104"/>
      <c r="F98" s="104"/>
      <c r="G98" s="91">
        <f ca="1">G31</f>
        <v>404491.2192852255</v>
      </c>
      <c r="H98" s="91">
        <f ca="1">H31</f>
        <v>514048.74377106666</v>
      </c>
      <c r="I98" s="91">
        <f ca="1">I31</f>
        <v>642040.20527208666</v>
      </c>
      <c r="J98" s="91">
        <f ca="1">J31</f>
        <v>768520.11914871552</v>
      </c>
      <c r="K98" s="91">
        <f ca="1">K31</f>
        <v>893692.21733176976</v>
      </c>
      <c r="M98" s="72"/>
    </row>
    <row r="99" spans="3:13" ht="15.75" customHeight="1">
      <c r="C99" t="s">
        <v>150</v>
      </c>
      <c r="D99" s="104"/>
      <c r="E99" s="104"/>
      <c r="F99" s="104"/>
      <c r="G99" s="91">
        <f>G33</f>
        <v>172741.39999999997</v>
      </c>
      <c r="H99" s="91">
        <f>H33</f>
        <v>175636.28199999998</v>
      </c>
      <c r="I99" s="91">
        <f>I33</f>
        <v>185588.63584</v>
      </c>
      <c r="J99" s="91">
        <f>J33</f>
        <v>194561.3857824</v>
      </c>
      <c r="K99" s="91">
        <f>K33</f>
        <v>205287.52436064</v>
      </c>
    </row>
    <row r="100" spans="3:13" ht="15.75" customHeight="1">
      <c r="C100" t="s">
        <v>85</v>
      </c>
      <c r="D100" s="104"/>
      <c r="E100" s="104"/>
      <c r="F100" s="104"/>
      <c r="G100" s="91">
        <f>G35</f>
        <v>0</v>
      </c>
      <c r="H100" s="91">
        <f>H35</f>
        <v>0</v>
      </c>
      <c r="I100" s="91">
        <f>I35</f>
        <v>0</v>
      </c>
      <c r="J100" s="91">
        <f>J35</f>
        <v>0</v>
      </c>
      <c r="K100" s="91">
        <f>K35</f>
        <v>0</v>
      </c>
    </row>
    <row r="101" spans="3:13" ht="15.75" customHeight="1">
      <c r="C101" t="s">
        <v>152</v>
      </c>
      <c r="D101" s="91"/>
      <c r="E101" s="91"/>
      <c r="F101" s="91"/>
      <c r="G101" s="91">
        <f>F50+F51+F52+F53-G50-G51-G52-G53</f>
        <v>-385052.1271575588</v>
      </c>
      <c r="H101" s="91">
        <f>G50+G51+G52+G53-H50-H51-H52-H53</f>
        <v>-383822.15988594899</v>
      </c>
      <c r="I101" s="91">
        <f>H50+H51+H52+H53-I50-I51-I52-I53</f>
        <v>-396782.27004209306</v>
      </c>
      <c r="J101" s="91">
        <f>I50+I51+I52+I53-J50-J51-J52-J53</f>
        <v>-409135.30490693299</v>
      </c>
      <c r="K101" s="91">
        <f>J50+J51+J52+J53-K50-K51-K52-K53</f>
        <v>-413682.27419276576</v>
      </c>
    </row>
    <row r="102" spans="3:13" ht="15.75" customHeight="1">
      <c r="C102" t="s">
        <v>153</v>
      </c>
      <c r="D102" s="91"/>
      <c r="E102" s="91"/>
      <c r="F102" s="91"/>
      <c r="G102" s="91">
        <f>G66+G67+G68+G71-F66-F67-F68-F71</f>
        <v>184850.15969020803</v>
      </c>
      <c r="H102" s="91">
        <f>H66+H67+H68+H71-G66-G67-G68-G71</f>
        <v>184277.96405766363</v>
      </c>
      <c r="I102" s="91">
        <f>I66+I67+I68+I71-H66-H67-H68-H71</f>
        <v>189281.00233922631</v>
      </c>
      <c r="J102" s="91">
        <f>J66+J67+J68+J71-I66-I67-I68-I71</f>
        <v>195783.95977757557</v>
      </c>
      <c r="K102" s="91">
        <f>K66+K67+K68+K71-J66-J67-J68-J71</f>
        <v>198243.47625233023</v>
      </c>
    </row>
    <row r="103" spans="3:13" ht="15.75" customHeight="1">
      <c r="C103" t="s">
        <v>117</v>
      </c>
      <c r="G103" s="91">
        <f>-G62+F62</f>
        <v>-965.09999999999945</v>
      </c>
      <c r="H103" s="91">
        <f>-H62+G62</f>
        <v>-961.8829999999989</v>
      </c>
      <c r="I103" s="91">
        <f>-I62+H62</f>
        <v>-1003.3179600000003</v>
      </c>
      <c r="J103" s="91">
        <f>-J62+I62</f>
        <v>-1030.0731056000004</v>
      </c>
      <c r="K103" s="91">
        <f>-K62+J62</f>
        <v>-1039.4374065600005</v>
      </c>
    </row>
    <row r="104" spans="3:13" ht="15.75" customHeight="1">
      <c r="C104" t="s">
        <v>136</v>
      </c>
      <c r="G104" s="91">
        <f>G79-F79</f>
        <v>1089.1499999999996</v>
      </c>
      <c r="H104" s="91">
        <f>H79-G79</f>
        <v>1085.5194999999985</v>
      </c>
      <c r="I104" s="91">
        <f>I79-H79</f>
        <v>1132.2803400000012</v>
      </c>
      <c r="J104" s="91">
        <f>J79-I79</f>
        <v>1162.4744824000009</v>
      </c>
      <c r="K104" s="91">
        <f>K79-J79</f>
        <v>1173.0424322400013</v>
      </c>
      <c r="M104" s="72"/>
    </row>
    <row r="105" spans="3:13" ht="15.75" customHeight="1">
      <c r="C105" s="72" t="s">
        <v>154</v>
      </c>
      <c r="G105" s="102">
        <f ca="1">SUM(G98:G104)</f>
        <v>377154.70181787468</v>
      </c>
      <c r="H105" s="102">
        <f ca="1">SUM(H98:H104)</f>
        <v>490264.46644278133</v>
      </c>
      <c r="I105" s="102">
        <f ca="1">SUM(I98:I104)</f>
        <v>620256.53578922001</v>
      </c>
      <c r="J105" s="102">
        <f ca="1">SUM(J98:J104)</f>
        <v>749862.56117855816</v>
      </c>
      <c r="K105" s="102">
        <f ca="1">SUM(K98:K104)</f>
        <v>883674.54877765418</v>
      </c>
    </row>
    <row r="106" spans="3:13" ht="15.75" customHeight="1">
      <c r="G106" s="91"/>
      <c r="H106" s="91"/>
      <c r="I106" s="91"/>
      <c r="J106" s="91"/>
      <c r="K106" s="91"/>
    </row>
    <row r="107" spans="3:13" ht="15.75" customHeight="1">
      <c r="C107" t="s">
        <v>157</v>
      </c>
      <c r="G107" s="91">
        <f>-G123</f>
        <v>-94759.999999999985</v>
      </c>
      <c r="H107" s="91">
        <f>-H123</f>
        <v>-107078.79999999997</v>
      </c>
      <c r="I107" s="91">
        <f>-I123</f>
        <v>-119928.25599999999</v>
      </c>
      <c r="J107" s="91">
        <f>-J123</f>
        <v>-133120.36416</v>
      </c>
      <c r="K107" s="91">
        <f>-K123</f>
        <v>-146432.40057600001</v>
      </c>
    </row>
    <row r="108" spans="3:13" ht="15.75" customHeight="1">
      <c r="C108" s="72" t="s">
        <v>158</v>
      </c>
      <c r="G108" s="102">
        <f>G107</f>
        <v>-94759.999999999985</v>
      </c>
      <c r="H108" s="102">
        <f>H107</f>
        <v>-107078.79999999997</v>
      </c>
      <c r="I108" s="102">
        <f>I107</f>
        <v>-119928.25599999999</v>
      </c>
      <c r="J108" s="102">
        <f>J107</f>
        <v>-133120.36416</v>
      </c>
      <c r="K108" s="102">
        <f>K107</f>
        <v>-146432.40057600001</v>
      </c>
    </row>
    <row r="109" spans="3:13" ht="15.75" customHeight="1">
      <c r="G109" s="91"/>
      <c r="H109" s="91"/>
      <c r="I109" s="91"/>
      <c r="J109" s="91"/>
      <c r="K109" s="91"/>
    </row>
    <row r="110" spans="3:13" ht="15.75" customHeight="1">
      <c r="C110" t="s">
        <v>131</v>
      </c>
      <c r="G110" s="91">
        <f>-G73</f>
        <v>-23444</v>
      </c>
      <c r="H110" s="91">
        <f>-H73</f>
        <v>-23444</v>
      </c>
      <c r="I110" s="91">
        <f>-I73</f>
        <v>-23444</v>
      </c>
      <c r="J110" s="91">
        <f>-J73</f>
        <v>-23444</v>
      </c>
      <c r="K110" s="91">
        <f>-K73</f>
        <v>-23444</v>
      </c>
    </row>
    <row r="111" spans="3:13" ht="15.75" customHeight="1">
      <c r="C111" t="s">
        <v>138</v>
      </c>
      <c r="G111" s="91">
        <v>0</v>
      </c>
      <c r="H111" s="91">
        <v>0</v>
      </c>
      <c r="I111" s="91">
        <v>0</v>
      </c>
      <c r="J111" s="91">
        <v>0</v>
      </c>
      <c r="K111" s="91">
        <v>0</v>
      </c>
    </row>
    <row r="112" spans="3:13" ht="18" customHeight="1">
      <c r="C112" t="s">
        <v>161</v>
      </c>
      <c r="F112" s="289"/>
      <c r="G112" s="91">
        <v>0</v>
      </c>
      <c r="H112" s="91">
        <v>0</v>
      </c>
      <c r="I112" s="91">
        <v>0</v>
      </c>
      <c r="J112" s="91">
        <v>0</v>
      </c>
      <c r="K112" s="91">
        <v>0</v>
      </c>
    </row>
    <row r="113" spans="2:15" ht="15.75" customHeight="1">
      <c r="C113" t="s">
        <v>163</v>
      </c>
      <c r="G113" s="91">
        <v>0</v>
      </c>
      <c r="H113" s="91">
        <v>0</v>
      </c>
      <c r="I113" s="91">
        <v>0</v>
      </c>
      <c r="J113" s="91">
        <v>0</v>
      </c>
      <c r="K113" s="91">
        <v>0</v>
      </c>
    </row>
    <row r="114" spans="2:15" ht="15.75" customHeight="1">
      <c r="C114" s="72" t="s">
        <v>164</v>
      </c>
      <c r="G114" s="91">
        <f>SUM(G110:G113)</f>
        <v>-23444</v>
      </c>
      <c r="H114" s="91">
        <f>SUM(H110:H113)</f>
        <v>-23444</v>
      </c>
      <c r="I114" s="91">
        <f>SUM(I110:I113)</f>
        <v>-23444</v>
      </c>
      <c r="J114" s="91">
        <f>SUM(J110:J113)</f>
        <v>-23444</v>
      </c>
      <c r="K114" s="91">
        <f>SUM(K110:K113)</f>
        <v>-23444</v>
      </c>
    </row>
    <row r="115" spans="2:15" ht="15.75" customHeight="1">
      <c r="G115" s="91"/>
      <c r="H115" s="91"/>
      <c r="I115" s="91"/>
      <c r="J115" s="91"/>
      <c r="K115" s="91"/>
    </row>
    <row r="116" spans="2:15" ht="15.75" customHeight="1">
      <c r="C116" s="72" t="s">
        <v>167</v>
      </c>
      <c r="G116" s="98">
        <f ca="1">G105+G108+G114</f>
        <v>258950.70181787468</v>
      </c>
      <c r="H116" s="98">
        <f ca="1">H105+H108+H114</f>
        <v>359741.66644278134</v>
      </c>
      <c r="I116" s="98">
        <f ca="1">I105+I108+I114</f>
        <v>476884.27978922002</v>
      </c>
      <c r="J116" s="98">
        <f ca="1">J105+J108+J114</f>
        <v>593298.19701855816</v>
      </c>
      <c r="K116" s="98">
        <f ca="1">K105+K108+K114</f>
        <v>713798.1482016542</v>
      </c>
    </row>
    <row r="118" spans="2:15" ht="15.75" customHeight="1">
      <c r="B118" t="s">
        <v>0</v>
      </c>
      <c r="C118" s="57" t="s">
        <v>168</v>
      </c>
      <c r="D118" s="6"/>
      <c r="E118" s="6"/>
      <c r="F118" s="6"/>
      <c r="G118" s="6"/>
      <c r="H118" s="6"/>
      <c r="I118" s="6"/>
      <c r="J118" s="6"/>
      <c r="K118" s="6"/>
    </row>
    <row r="119" spans="2:15" ht="15.75" customHeight="1">
      <c r="C119" s="79" t="str">
        <f t="shared" ref="C119:K119" si="20">C14</f>
        <v xml:space="preserve">Fiscal year  </v>
      </c>
      <c r="D119" s="81">
        <f t="shared" si="20"/>
        <v>2023</v>
      </c>
      <c r="E119" s="81">
        <f t="shared" si="20"/>
        <v>2024</v>
      </c>
      <c r="F119" s="81">
        <f t="shared" si="20"/>
        <v>2025</v>
      </c>
      <c r="G119" s="83">
        <f t="shared" si="20"/>
        <v>2026</v>
      </c>
      <c r="H119" s="83">
        <f t="shared" si="20"/>
        <v>2027</v>
      </c>
      <c r="I119" s="83">
        <f t="shared" si="20"/>
        <v>2028</v>
      </c>
      <c r="J119" s="83">
        <f t="shared" si="20"/>
        <v>2029</v>
      </c>
      <c r="K119" s="83">
        <f t="shared" si="20"/>
        <v>2030</v>
      </c>
    </row>
    <row r="120" spans="2:15" ht="15.75" customHeight="1">
      <c r="C120" s="6" t="str">
        <f t="shared" ref="C120:K120" si="21">C15</f>
        <v>Fiscal year end date</v>
      </c>
      <c r="D120" s="85">
        <f t="shared" si="21"/>
        <v>45291</v>
      </c>
      <c r="E120" s="85">
        <f t="shared" si="21"/>
        <v>45657</v>
      </c>
      <c r="F120" s="85">
        <f t="shared" si="21"/>
        <v>46022</v>
      </c>
      <c r="G120" s="85">
        <f t="shared" si="21"/>
        <v>46387</v>
      </c>
      <c r="H120" s="85">
        <f t="shared" si="21"/>
        <v>46752</v>
      </c>
      <c r="I120" s="85">
        <f t="shared" si="21"/>
        <v>47118</v>
      </c>
      <c r="J120" s="85">
        <f t="shared" si="21"/>
        <v>47483</v>
      </c>
      <c r="K120" s="85">
        <f t="shared" si="21"/>
        <v>47848</v>
      </c>
    </row>
    <row r="121" spans="2:15" ht="15.75" customHeight="1">
      <c r="C121" s="72"/>
      <c r="G121" s="306" t="s">
        <v>169</v>
      </c>
      <c r="H121" s="306"/>
      <c r="I121" s="306"/>
      <c r="J121" s="306"/>
      <c r="K121" s="306"/>
    </row>
    <row r="122" spans="2:15" ht="15.75" customHeight="1">
      <c r="C122" s="95" t="s">
        <v>170</v>
      </c>
      <c r="F122" s="91">
        <f>E56</f>
        <v>568607</v>
      </c>
      <c r="G122" s="91">
        <f>F125</f>
        <v>579971</v>
      </c>
      <c r="H122" s="91">
        <f>G125</f>
        <v>593039.6</v>
      </c>
      <c r="I122" s="91">
        <f>H125</f>
        <v>607807.1179999999</v>
      </c>
      <c r="J122" s="91">
        <f>I125</f>
        <v>624346.73815999983</v>
      </c>
      <c r="K122" s="91">
        <f>J125</f>
        <v>642705.7165375998</v>
      </c>
    </row>
    <row r="123" spans="2:15" ht="15.75" customHeight="1">
      <c r="C123" s="44" t="s">
        <v>171</v>
      </c>
      <c r="D123" s="49"/>
      <c r="E123" s="49"/>
      <c r="F123" s="109">
        <v>82400</v>
      </c>
      <c r="G123" s="54">
        <f>($F$123/$F$17)*G17</f>
        <v>94759.999999999985</v>
      </c>
      <c r="H123" s="54">
        <f>($F$123/$F$17)*H17</f>
        <v>107078.79999999997</v>
      </c>
      <c r="I123" s="54">
        <f>($F$123/$F$17)*I17</f>
        <v>119928.25599999999</v>
      </c>
      <c r="J123" s="54">
        <f>($F$123/$F$17)*J17</f>
        <v>133120.36416</v>
      </c>
      <c r="K123" s="54">
        <f>($F$123/$F$17)*K17</f>
        <v>146432.40057600001</v>
      </c>
    </row>
    <row r="124" spans="2:15" ht="15.75" customHeight="1">
      <c r="C124" s="108" t="s">
        <v>173</v>
      </c>
      <c r="D124" s="109"/>
      <c r="E124" s="109"/>
      <c r="F124" s="109">
        <f>-(F122+F123-F125)</f>
        <v>-71036</v>
      </c>
      <c r="G124" s="110">
        <f>-G123*G127</f>
        <v>-81691.39999999998</v>
      </c>
      <c r="H124" s="110">
        <f>-H123*H127</f>
        <v>-92311.281999999977</v>
      </c>
      <c r="I124" s="110">
        <f>-I123*I127</f>
        <v>-103388.63583999999</v>
      </c>
      <c r="J124" s="110">
        <f>-J123*J127</f>
        <v>-114761.3857824</v>
      </c>
      <c r="K124" s="110">
        <f>-K123*K127</f>
        <v>-126237.52436064</v>
      </c>
    </row>
    <row r="125" spans="2:15" ht="15.75" customHeight="1">
      <c r="C125" s="111" t="s">
        <v>175</v>
      </c>
      <c r="D125" s="102"/>
      <c r="E125" s="102"/>
      <c r="F125" s="102">
        <f>F56</f>
        <v>579971</v>
      </c>
      <c r="G125" s="102">
        <f>SUM(G122:G124)</f>
        <v>593039.6</v>
      </c>
      <c r="H125" s="102">
        <f>SUM(H122:H124)</f>
        <v>607807.1179999999</v>
      </c>
      <c r="I125" s="102">
        <f>SUM(I122:I124)</f>
        <v>624346.73815999983</v>
      </c>
      <c r="J125" s="102">
        <f>SUM(J122:J124)</f>
        <v>642705.7165375998</v>
      </c>
      <c r="K125" s="102">
        <f>SUM(K122:K124)</f>
        <v>662900.59275295981</v>
      </c>
    </row>
    <row r="126" spans="2:15" ht="15.75" customHeight="1">
      <c r="C126" s="95"/>
      <c r="M126" s="26"/>
    </row>
    <row r="127" spans="2:15" ht="16.5" customHeight="1">
      <c r="C127" s="95" t="s">
        <v>176</v>
      </c>
      <c r="D127" s="112"/>
      <c r="E127" s="112"/>
      <c r="F127" s="113">
        <f>-F124/F123</f>
        <v>0.86208737864077667</v>
      </c>
      <c r="G127" s="42">
        <f>F127</f>
        <v>0.86208737864077667</v>
      </c>
      <c r="H127" s="42">
        <f>G127</f>
        <v>0.86208737864077667</v>
      </c>
      <c r="I127" s="42">
        <f>H127</f>
        <v>0.86208737864077667</v>
      </c>
      <c r="J127" s="42">
        <f>I127</f>
        <v>0.86208737864077667</v>
      </c>
      <c r="K127" s="42">
        <f>J127</f>
        <v>0.86208737864077667</v>
      </c>
    </row>
    <row r="128" spans="2:15" ht="15.75" customHeight="1">
      <c r="C128" s="95"/>
      <c r="D128" s="112"/>
      <c r="E128" s="112"/>
      <c r="F128" s="112"/>
      <c r="G128" s="42"/>
      <c r="H128" s="42"/>
      <c r="I128" s="42"/>
      <c r="J128" s="42"/>
      <c r="K128" s="42"/>
      <c r="O128" s="114"/>
    </row>
    <row r="129" spans="2:15" ht="15.75" customHeight="1">
      <c r="B129" t="s">
        <v>0</v>
      </c>
      <c r="C129" s="115" t="s">
        <v>177</v>
      </c>
      <c r="D129" s="116"/>
      <c r="E129" s="116"/>
      <c r="F129" s="116"/>
      <c r="G129" s="117"/>
      <c r="H129" s="117"/>
      <c r="I129" s="117"/>
      <c r="J129" s="117"/>
      <c r="K129" s="117"/>
      <c r="O129" s="114"/>
    </row>
    <row r="130" spans="2:15" ht="15.75" customHeight="1">
      <c r="C130" s="95" t="s">
        <v>178</v>
      </c>
      <c r="D130" s="91"/>
      <c r="E130" s="91"/>
      <c r="F130" s="91">
        <f>F33+F124</f>
        <v>122628</v>
      </c>
      <c r="G130" s="101">
        <f>-G20</f>
        <v>91050</v>
      </c>
      <c r="H130" s="101">
        <f>-H20</f>
        <v>83325</v>
      </c>
      <c r="I130" s="101">
        <f>-I20</f>
        <v>82200</v>
      </c>
      <c r="J130" s="101">
        <f>-J20</f>
        <v>79800</v>
      </c>
      <c r="K130" s="101">
        <f>-K20</f>
        <v>79050</v>
      </c>
      <c r="O130" s="114"/>
    </row>
    <row r="131" spans="2:15" ht="15.75" customHeight="1">
      <c r="C131" s="44" t="s">
        <v>180</v>
      </c>
      <c r="D131" s="118"/>
      <c r="E131" s="118"/>
      <c r="F131" s="118"/>
      <c r="G131" s="42">
        <f>G130/G17</f>
        <v>1.3059586518573777E-2</v>
      </c>
      <c r="H131" s="42">
        <f>H130/H17</f>
        <v>1.0576606713807547E-2</v>
      </c>
      <c r="I131" s="42">
        <f>I130/I17</f>
        <v>9.3159002172536563E-3</v>
      </c>
      <c r="J131" s="42">
        <f>J130/J17</f>
        <v>8.1476604780346962E-3</v>
      </c>
      <c r="K131" s="42">
        <f>K130/K17</f>
        <v>7.3373497469656265E-3</v>
      </c>
      <c r="O131" s="114"/>
    </row>
    <row r="132" spans="2:15" ht="15.75" customHeight="1">
      <c r="C132" s="97" t="s">
        <v>181</v>
      </c>
      <c r="D132" s="102"/>
      <c r="E132" s="102"/>
      <c r="F132" s="102"/>
      <c r="G132" s="98">
        <f>G130-G124</f>
        <v>172741.39999999997</v>
      </c>
      <c r="H132" s="98">
        <f>H130-H124</f>
        <v>175636.28199999998</v>
      </c>
      <c r="I132" s="98">
        <f>I130-I124</f>
        <v>185588.63584</v>
      </c>
      <c r="J132" s="98">
        <f>J130-J124</f>
        <v>194561.3857824</v>
      </c>
      <c r="K132" s="98">
        <f>K130-K124</f>
        <v>205287.52436064</v>
      </c>
      <c r="O132" s="114"/>
    </row>
    <row r="133" spans="2:15" ht="15.75" customHeight="1">
      <c r="H133" s="91"/>
      <c r="I133" s="91"/>
      <c r="J133" s="91"/>
      <c r="K133" s="91"/>
    </row>
    <row r="134" spans="2:15" ht="15.75" customHeight="1">
      <c r="B134" t="s">
        <v>0</v>
      </c>
      <c r="C134" s="119" t="s">
        <v>182</v>
      </c>
      <c r="D134" s="120"/>
      <c r="E134" s="120"/>
      <c r="F134" s="120"/>
      <c r="G134" s="121">
        <f>G14</f>
        <v>2026</v>
      </c>
      <c r="H134" s="121">
        <f>H14</f>
        <v>2027</v>
      </c>
      <c r="I134" s="121">
        <f>I14</f>
        <v>2028</v>
      </c>
      <c r="J134" s="121">
        <f>J14</f>
        <v>2029</v>
      </c>
      <c r="K134" s="121">
        <f>K14</f>
        <v>2030</v>
      </c>
    </row>
    <row r="135" spans="2:15" ht="15.75" customHeight="1">
      <c r="C135" s="95" t="s">
        <v>170</v>
      </c>
      <c r="F135" s="91">
        <f>E86</f>
        <v>-1563321</v>
      </c>
      <c r="G135" s="91">
        <f>F139</f>
        <v>-1285904</v>
      </c>
      <c r="H135" s="91">
        <f ca="1">G139</f>
        <v>-881412.7807147745</v>
      </c>
      <c r="I135" s="91">
        <f ca="1">H139</f>
        <v>-367364.03694370785</v>
      </c>
      <c r="J135" s="91">
        <f ca="1">I139</f>
        <v>274676.16832837882</v>
      </c>
      <c r="K135" s="91">
        <f ca="1">J139</f>
        <v>1043196.2874770943</v>
      </c>
    </row>
    <row r="136" spans="2:15" ht="15.75" customHeight="1">
      <c r="C136" s="44" t="s">
        <v>183</v>
      </c>
      <c r="D136" s="101"/>
      <c r="E136" s="101"/>
      <c r="F136" s="91">
        <f t="shared" ref="F136:K136" si="22">F31</f>
        <v>277417</v>
      </c>
      <c r="G136" s="91">
        <f t="shared" ca="1" si="22"/>
        <v>404491.2192852255</v>
      </c>
      <c r="H136" s="91">
        <f t="shared" ca="1" si="22"/>
        <v>514048.74377106666</v>
      </c>
      <c r="I136" s="91">
        <f t="shared" ca="1" si="22"/>
        <v>642040.20527208666</v>
      </c>
      <c r="J136" s="91">
        <f t="shared" ca="1" si="22"/>
        <v>768520.11914871552</v>
      </c>
      <c r="K136" s="91">
        <f t="shared" ca="1" si="22"/>
        <v>893692.21733176976</v>
      </c>
    </row>
    <row r="137" spans="2:15" ht="15.75" customHeight="1">
      <c r="C137" s="44" t="s">
        <v>184</v>
      </c>
      <c r="D137" s="49"/>
      <c r="E137" s="49"/>
      <c r="F137" s="91">
        <f t="shared" ref="F137:K137" si="23">-F113</f>
        <v>0</v>
      </c>
      <c r="G137" s="91">
        <f t="shared" si="23"/>
        <v>0</v>
      </c>
      <c r="H137" s="91">
        <f t="shared" si="23"/>
        <v>0</v>
      </c>
      <c r="I137" s="91">
        <f t="shared" si="23"/>
        <v>0</v>
      </c>
      <c r="J137" s="91">
        <f t="shared" si="23"/>
        <v>0</v>
      </c>
      <c r="K137" s="91">
        <f t="shared" si="23"/>
        <v>0</v>
      </c>
    </row>
    <row r="138" spans="2:15" ht="15.75" customHeight="1">
      <c r="C138" s="108" t="s">
        <v>185</v>
      </c>
      <c r="D138" s="109"/>
      <c r="E138" s="109"/>
      <c r="F138" s="110">
        <f t="shared" ref="F138:K138" si="24">-F112</f>
        <v>0</v>
      </c>
      <c r="G138" s="110">
        <f t="shared" si="24"/>
        <v>0</v>
      </c>
      <c r="H138" s="110">
        <f t="shared" si="24"/>
        <v>0</v>
      </c>
      <c r="I138" s="110">
        <f t="shared" si="24"/>
        <v>0</v>
      </c>
      <c r="J138" s="110">
        <f t="shared" si="24"/>
        <v>0</v>
      </c>
      <c r="K138" s="110">
        <f t="shared" si="24"/>
        <v>0</v>
      </c>
    </row>
    <row r="139" spans="2:15" ht="15.75" customHeight="1">
      <c r="C139" s="111" t="s">
        <v>175</v>
      </c>
      <c r="D139" s="98"/>
      <c r="E139" s="98"/>
      <c r="F139" s="98">
        <f t="shared" ref="F139:K139" si="25">SUM(F135:F138)</f>
        <v>-1285904</v>
      </c>
      <c r="G139" s="98">
        <f t="shared" ca="1" si="25"/>
        <v>-881412.7807147745</v>
      </c>
      <c r="H139" s="98">
        <f t="shared" ca="1" si="25"/>
        <v>-367364.03694370785</v>
      </c>
      <c r="I139" s="98">
        <f t="shared" ca="1" si="25"/>
        <v>274676.16832837882</v>
      </c>
      <c r="J139" s="98">
        <f t="shared" ca="1" si="25"/>
        <v>1043196.2874770943</v>
      </c>
      <c r="K139" s="98">
        <f t="shared" ca="1" si="25"/>
        <v>1936888.5048088641</v>
      </c>
    </row>
    <row r="140" spans="2:15" ht="15.75" customHeight="1">
      <c r="E140" s="104"/>
      <c r="F140" s="104"/>
    </row>
    <row r="141" spans="2:15" ht="15.75" customHeight="1">
      <c r="B141" t="s">
        <v>0</v>
      </c>
      <c r="C141" s="57" t="s">
        <v>186</v>
      </c>
      <c r="D141" s="6"/>
      <c r="E141" s="6"/>
      <c r="F141" s="6"/>
      <c r="G141" s="6"/>
      <c r="H141" s="6"/>
      <c r="I141" s="6"/>
      <c r="J141" s="6"/>
      <c r="K141" s="6"/>
    </row>
    <row r="142" spans="2:15" ht="15.75" customHeight="1">
      <c r="C142" s="79" t="str">
        <f t="shared" ref="C142:K142" si="26">C14</f>
        <v xml:space="preserve">Fiscal year  </v>
      </c>
      <c r="D142" s="81">
        <f t="shared" si="26"/>
        <v>2023</v>
      </c>
      <c r="E142" s="81">
        <f t="shared" si="26"/>
        <v>2024</v>
      </c>
      <c r="F142" s="81">
        <f t="shared" si="26"/>
        <v>2025</v>
      </c>
      <c r="G142" s="83">
        <f t="shared" si="26"/>
        <v>2026</v>
      </c>
      <c r="H142" s="83">
        <f t="shared" si="26"/>
        <v>2027</v>
      </c>
      <c r="I142" s="83">
        <f t="shared" si="26"/>
        <v>2028</v>
      </c>
      <c r="J142" s="83">
        <f t="shared" si="26"/>
        <v>2029</v>
      </c>
      <c r="K142" s="83">
        <f t="shared" si="26"/>
        <v>2030</v>
      </c>
    </row>
    <row r="143" spans="2:15" ht="15.75" customHeight="1">
      <c r="C143" s="6" t="str">
        <f t="shared" ref="C143:K143" si="27">C15</f>
        <v>Fiscal year end date</v>
      </c>
      <c r="D143" s="85">
        <f t="shared" si="27"/>
        <v>45291</v>
      </c>
      <c r="E143" s="85">
        <f t="shared" si="27"/>
        <v>45657</v>
      </c>
      <c r="F143" s="85">
        <f t="shared" si="27"/>
        <v>46022</v>
      </c>
      <c r="G143" s="85">
        <f t="shared" si="27"/>
        <v>46387</v>
      </c>
      <c r="H143" s="85">
        <f t="shared" si="27"/>
        <v>46752</v>
      </c>
      <c r="I143" s="85">
        <f t="shared" si="27"/>
        <v>47118</v>
      </c>
      <c r="J143" s="85">
        <f t="shared" si="27"/>
        <v>47483</v>
      </c>
      <c r="K143" s="85">
        <f t="shared" si="27"/>
        <v>47848</v>
      </c>
    </row>
    <row r="144" spans="2:15" ht="15.75" customHeight="1">
      <c r="C144" s="72"/>
    </row>
    <row r="145" spans="2:11" ht="15.75" customHeight="1">
      <c r="C145" s="26" t="s">
        <v>187</v>
      </c>
    </row>
    <row r="146" spans="2:11" ht="15.75" customHeight="1">
      <c r="C146" s="44" t="s">
        <v>188</v>
      </c>
      <c r="G146" s="91">
        <f>F49</f>
        <v>289717</v>
      </c>
      <c r="H146" s="91">
        <f ca="1">G49</f>
        <v>548667.70181787468</v>
      </c>
      <c r="I146" s="91">
        <f ca="1">H49</f>
        <v>908409.36826065602</v>
      </c>
      <c r="J146" s="91">
        <f ca="1">I49</f>
        <v>1385293.6480498761</v>
      </c>
      <c r="K146" s="91">
        <f ca="1">J49</f>
        <v>1978591.8450684343</v>
      </c>
    </row>
    <row r="147" spans="2:11" ht="15.75" customHeight="1">
      <c r="C147" s="44" t="s">
        <v>189</v>
      </c>
      <c r="G147" s="49">
        <v>-50000</v>
      </c>
      <c r="H147" s="49">
        <v>-50000</v>
      </c>
      <c r="I147" s="49">
        <v>-50000</v>
      </c>
      <c r="J147" s="49">
        <v>-50000</v>
      </c>
      <c r="K147" s="49">
        <v>-50000</v>
      </c>
    </row>
    <row r="148" spans="2:11" ht="15.75" customHeight="1">
      <c r="C148" s="108" t="s">
        <v>190</v>
      </c>
      <c r="D148" s="122"/>
      <c r="E148" s="122"/>
      <c r="F148" s="122"/>
      <c r="G148" s="110">
        <f ca="1">G105+G108+G110+G112+G113</f>
        <v>258950.70181787468</v>
      </c>
      <c r="H148" s="110">
        <f ca="1">H105+H108+H110+H112+H113</f>
        <v>359741.66644278134</v>
      </c>
      <c r="I148" s="110">
        <f ca="1">I105+I108+I110+I112+I113</f>
        <v>476884.27978922002</v>
      </c>
      <c r="J148" s="110">
        <f ca="1">J105+J108+J110+J112+J113</f>
        <v>593298.19701855816</v>
      </c>
      <c r="K148" s="110">
        <f ca="1">K105+K108+K110+K112+K113</f>
        <v>713798.1482016542</v>
      </c>
    </row>
    <row r="149" spans="2:11" ht="15.75" customHeight="1">
      <c r="C149" s="111" t="s">
        <v>191</v>
      </c>
      <c r="G149" s="98">
        <f ca="1">SUM(G146:G148)</f>
        <v>498667.70181787468</v>
      </c>
      <c r="H149" s="98">
        <f ca="1">SUM(H146:H148)</f>
        <v>858409.36826065602</v>
      </c>
      <c r="I149" s="98">
        <f ca="1">SUM(I146:I148)</f>
        <v>1335293.6480498761</v>
      </c>
      <c r="J149" s="98">
        <f ca="1">SUM(J146:J148)</f>
        <v>1928591.8450684343</v>
      </c>
      <c r="K149" s="98">
        <f ca="1">SUM(K146:K148)</f>
        <v>2642389.9932700885</v>
      </c>
    </row>
    <row r="150" spans="2:11" ht="15.75" customHeight="1">
      <c r="C150" s="44"/>
      <c r="G150" s="123"/>
      <c r="H150" s="123"/>
      <c r="I150" s="123"/>
      <c r="J150" s="123"/>
      <c r="K150" s="123"/>
    </row>
    <row r="151" spans="2:11" ht="15.75" customHeight="1">
      <c r="C151" s="72" t="s">
        <v>192</v>
      </c>
    </row>
    <row r="152" spans="2:11" ht="15.75" customHeight="1">
      <c r="C152" s="44" t="s">
        <v>170</v>
      </c>
      <c r="G152" s="54">
        <f>F81</f>
        <v>0</v>
      </c>
      <c r="H152" s="91">
        <f ca="1">G155</f>
        <v>0</v>
      </c>
      <c r="I152" s="91">
        <f ca="1">H155</f>
        <v>0</v>
      </c>
      <c r="J152" s="91">
        <f ca="1">I155</f>
        <v>0</v>
      </c>
      <c r="K152" s="91">
        <f ca="1">J155</f>
        <v>0</v>
      </c>
    </row>
    <row r="153" spans="2:11" ht="15.75" customHeight="1">
      <c r="C153" s="44" t="s">
        <v>193</v>
      </c>
      <c r="G153" s="91">
        <f ca="1">IF(G149&lt;0,-G149,IF(G152&gt;0,-MIN(G152,G149),0))</f>
        <v>0</v>
      </c>
      <c r="H153" s="91">
        <f ca="1">IF(H149&lt;0,-H149,IF(H152&gt;0,-MIN(H152,H149),0))</f>
        <v>0</v>
      </c>
      <c r="I153" s="91">
        <f ca="1">IF(I149&lt;0,-I149,IF(I152&gt;0,-MIN(I152,I149),0))</f>
        <v>0</v>
      </c>
      <c r="J153" s="91">
        <f ca="1">IF(J149&lt;0,-J149,IF(J152&gt;0,-MIN(J152,J149),0))</f>
        <v>0</v>
      </c>
      <c r="K153" s="91">
        <f ca="1">IF(K149&lt;0,-K149,IF(K152&gt;0,-MIN(K152,K149),0))</f>
        <v>0</v>
      </c>
    </row>
    <row r="154" spans="2:11" ht="15.75" customHeight="1">
      <c r="C154" s="108" t="s">
        <v>194</v>
      </c>
      <c r="D154" s="122"/>
      <c r="E154" s="122"/>
      <c r="F154" s="122"/>
      <c r="G154" s="109">
        <v>0</v>
      </c>
      <c r="H154" s="109">
        <v>0</v>
      </c>
      <c r="I154" s="109">
        <v>0</v>
      </c>
      <c r="J154" s="109">
        <v>0</v>
      </c>
      <c r="K154" s="109">
        <v>0</v>
      </c>
    </row>
    <row r="155" spans="2:11" ht="15.75" customHeight="1">
      <c r="C155" s="124" t="s">
        <v>175</v>
      </c>
      <c r="D155" s="125"/>
      <c r="E155" s="125"/>
      <c r="F155" s="125"/>
      <c r="G155" s="126">
        <f ca="1">G152+G153+G154</f>
        <v>0</v>
      </c>
      <c r="H155" s="126">
        <f ca="1">H152+H153+H154</f>
        <v>0</v>
      </c>
      <c r="I155" s="126">
        <f ca="1">I152+I153+I154</f>
        <v>0</v>
      </c>
      <c r="J155" s="126">
        <f ca="1">J152+J153+J154</f>
        <v>0</v>
      </c>
      <c r="K155" s="126">
        <f ca="1">K152+K153+K154</f>
        <v>0</v>
      </c>
    </row>
    <row r="156" spans="2:11" ht="15.75" customHeight="1">
      <c r="C156" s="127" t="s">
        <v>195</v>
      </c>
      <c r="D156" s="129"/>
      <c r="E156" s="129"/>
      <c r="F156" s="130">
        <f>F75+F73</f>
        <v>2214605</v>
      </c>
      <c r="G156" s="131">
        <f ca="1">G75+G73+G155</f>
        <v>2191161</v>
      </c>
      <c r="H156" s="131">
        <f ca="1">H75+H73+H155</f>
        <v>2167717</v>
      </c>
      <c r="I156" s="131">
        <f ca="1">I75+I73+I155</f>
        <v>2144273</v>
      </c>
      <c r="J156" s="131">
        <f ca="1">J75+J73+J155</f>
        <v>2120829</v>
      </c>
      <c r="K156" s="132">
        <f ca="1">K75+K73+K155</f>
        <v>2097385</v>
      </c>
    </row>
    <row r="157" spans="2:11" ht="15.75" customHeight="1">
      <c r="D157" s="91"/>
      <c r="E157" s="91"/>
      <c r="F157" s="133"/>
      <c r="G157" s="134"/>
      <c r="H157" s="134"/>
      <c r="I157" s="134"/>
      <c r="J157" s="134"/>
      <c r="K157" s="134"/>
    </row>
    <row r="158" spans="2:11" ht="15.75" customHeight="1">
      <c r="B158" t="s">
        <v>0</v>
      </c>
      <c r="C158" s="57" t="s">
        <v>196</v>
      </c>
      <c r="D158" s="116"/>
      <c r="E158" s="116"/>
      <c r="F158" s="116"/>
      <c r="G158" s="135"/>
      <c r="H158" s="135"/>
      <c r="I158" s="135"/>
      <c r="J158" s="135"/>
      <c r="K158" s="135"/>
    </row>
    <row r="159" spans="2:11" ht="15.75" customHeight="1">
      <c r="C159" s="79" t="str">
        <f t="shared" ref="C159:K159" si="28">C14</f>
        <v xml:space="preserve">Fiscal year  </v>
      </c>
      <c r="D159" s="81">
        <f t="shared" si="28"/>
        <v>2023</v>
      </c>
      <c r="E159" s="81">
        <f t="shared" si="28"/>
        <v>2024</v>
      </c>
      <c r="F159" s="81">
        <f t="shared" si="28"/>
        <v>2025</v>
      </c>
      <c r="G159" s="83">
        <f t="shared" si="28"/>
        <v>2026</v>
      </c>
      <c r="H159" s="83">
        <f t="shared" si="28"/>
        <v>2027</v>
      </c>
      <c r="I159" s="83">
        <f t="shared" si="28"/>
        <v>2028</v>
      </c>
      <c r="J159" s="83">
        <f t="shared" si="28"/>
        <v>2029</v>
      </c>
      <c r="K159" s="83">
        <f t="shared" si="28"/>
        <v>2030</v>
      </c>
    </row>
    <row r="160" spans="2:11" ht="15.75" customHeight="1">
      <c r="C160" s="6" t="str">
        <f t="shared" ref="C160:K160" si="29">C15</f>
        <v>Fiscal year end date</v>
      </c>
      <c r="D160" s="85">
        <f t="shared" si="29"/>
        <v>45291</v>
      </c>
      <c r="E160" s="85">
        <f t="shared" si="29"/>
        <v>45657</v>
      </c>
      <c r="F160" s="85">
        <f t="shared" si="29"/>
        <v>46022</v>
      </c>
      <c r="G160" s="85">
        <f t="shared" si="29"/>
        <v>46387</v>
      </c>
      <c r="H160" s="85">
        <f t="shared" si="29"/>
        <v>46752</v>
      </c>
      <c r="I160" s="85">
        <f t="shared" si="29"/>
        <v>47118</v>
      </c>
      <c r="J160" s="85">
        <f t="shared" si="29"/>
        <v>47483</v>
      </c>
      <c r="K160" s="85">
        <f t="shared" si="29"/>
        <v>47848</v>
      </c>
    </row>
    <row r="161" spans="3:11" ht="15.75" customHeight="1">
      <c r="C161" s="44"/>
      <c r="D161" s="91"/>
      <c r="E161" s="91"/>
      <c r="F161" s="91"/>
      <c r="G161" s="136"/>
      <c r="H161" s="136"/>
      <c r="I161" s="136"/>
      <c r="J161" s="136"/>
      <c r="K161" s="136"/>
    </row>
    <row r="162" spans="3:11" ht="15.75" customHeight="1">
      <c r="C162" s="95" t="s">
        <v>197</v>
      </c>
      <c r="D162" s="91"/>
      <c r="E162" s="91"/>
      <c r="F162" s="98">
        <f>F25</f>
        <v>-174217</v>
      </c>
      <c r="G162" s="98">
        <f ca="1">G167+G172</f>
        <v>-149796.04400000002</v>
      </c>
      <c r="H162" s="98">
        <f ca="1">H167+H172</f>
        <v>-148201.85200000001</v>
      </c>
      <c r="I162" s="98">
        <f ca="1">I167+I172</f>
        <v>-146607.66</v>
      </c>
      <c r="J162" s="98">
        <f ca="1">J167+J172</f>
        <v>-145013.46800000002</v>
      </c>
      <c r="K162" s="98">
        <f ca="1">K167+K172</f>
        <v>-143419.27600000001</v>
      </c>
    </row>
    <row r="163" spans="3:11" ht="15.75" customHeight="1">
      <c r="C163" s="137"/>
    </row>
    <row r="164" spans="3:11" ht="15.75" customHeight="1">
      <c r="C164" s="138" t="s">
        <v>198</v>
      </c>
    </row>
    <row r="165" spans="3:11" ht="15.75" customHeight="1">
      <c r="C165" s="44" t="s">
        <v>199</v>
      </c>
      <c r="F165" s="43">
        <v>6.0499999999999998E-2</v>
      </c>
      <c r="G165" s="43">
        <v>6.0499999999999998E-2</v>
      </c>
      <c r="H165" s="43">
        <v>6.0499999999999998E-2</v>
      </c>
      <c r="I165" s="43">
        <v>6.0499999999999998E-2</v>
      </c>
      <c r="J165" s="43">
        <v>6.0499999999999998E-2</v>
      </c>
      <c r="K165" s="43">
        <v>6.0499999999999998E-2</v>
      </c>
    </row>
    <row r="166" spans="3:11" ht="15.75" customHeight="1">
      <c r="C166" s="44" t="s">
        <v>200</v>
      </c>
      <c r="D166" s="91"/>
      <c r="E166" s="91"/>
      <c r="F166" s="91">
        <v>0</v>
      </c>
      <c r="G166" s="91">
        <f ca="1">G155</f>
        <v>0</v>
      </c>
      <c r="H166" s="91">
        <f ca="1">H155</f>
        <v>0</v>
      </c>
      <c r="I166" s="91">
        <f ca="1">I155</f>
        <v>0</v>
      </c>
      <c r="J166" s="91">
        <f ca="1">J155</f>
        <v>0</v>
      </c>
      <c r="K166" s="91">
        <f ca="1">K155</f>
        <v>0</v>
      </c>
    </row>
    <row r="167" spans="3:11" ht="15.75" customHeight="1">
      <c r="C167" s="139" t="s">
        <v>201</v>
      </c>
      <c r="D167" s="140"/>
      <c r="E167" s="140"/>
      <c r="F167" s="141">
        <v>0</v>
      </c>
      <c r="G167" s="141">
        <f ca="1">-G165*(F166+G166)/2</f>
        <v>0</v>
      </c>
      <c r="H167" s="141">
        <f ca="1">-H165*(G166+H166)/2</f>
        <v>0</v>
      </c>
      <c r="I167" s="141">
        <f ca="1">-I165*(H166+I166)/2</f>
        <v>0</v>
      </c>
      <c r="J167" s="141">
        <f ca="1">-J165*(I166+J166)/2</f>
        <v>0</v>
      </c>
      <c r="K167" s="141">
        <f ca="1">-K165*(J166+K166)/2</f>
        <v>0</v>
      </c>
    </row>
    <row r="168" spans="3:11" ht="15.75" customHeight="1">
      <c r="C168" s="89"/>
      <c r="D168" s="91"/>
      <c r="E168" s="91"/>
      <c r="F168" s="91"/>
    </row>
    <row r="169" spans="3:11" ht="15.75" customHeight="1">
      <c r="C169" s="138" t="s">
        <v>131</v>
      </c>
      <c r="D169" s="91"/>
      <c r="E169" s="91"/>
      <c r="F169" s="91"/>
    </row>
    <row r="170" spans="3:11" ht="15.75" customHeight="1">
      <c r="C170" s="44" t="s">
        <v>200</v>
      </c>
      <c r="D170" s="91"/>
      <c r="E170" s="91">
        <f t="shared" ref="E170:K170" si="30">E75+E73</f>
        <v>2231426</v>
      </c>
      <c r="F170" s="91">
        <f t="shared" si="30"/>
        <v>2214605</v>
      </c>
      <c r="G170" s="91">
        <f t="shared" si="30"/>
        <v>2191161</v>
      </c>
      <c r="H170" s="91">
        <f t="shared" si="30"/>
        <v>2167717</v>
      </c>
      <c r="I170" s="91">
        <f t="shared" si="30"/>
        <v>2144273</v>
      </c>
      <c r="J170" s="91">
        <f t="shared" si="30"/>
        <v>2120829</v>
      </c>
      <c r="K170" s="91">
        <f t="shared" si="30"/>
        <v>2097385</v>
      </c>
    </row>
    <row r="171" spans="3:11" ht="15.75" customHeight="1">
      <c r="C171" s="44" t="s">
        <v>199</v>
      </c>
      <c r="E171" s="118"/>
      <c r="F171" s="112">
        <f>-F25/((E170+F170)/2)</f>
        <v>7.8369673985628982E-2</v>
      </c>
      <c r="G171" s="43">
        <v>6.8000000000000005E-2</v>
      </c>
      <c r="H171" s="43">
        <v>6.8000000000000005E-2</v>
      </c>
      <c r="I171" s="43">
        <v>6.8000000000000005E-2</v>
      </c>
      <c r="J171" s="43">
        <v>6.8000000000000005E-2</v>
      </c>
      <c r="K171" s="43">
        <v>6.8000000000000005E-2</v>
      </c>
    </row>
    <row r="172" spans="3:11" ht="15.75" customHeight="1">
      <c r="C172" s="111" t="s">
        <v>74</v>
      </c>
      <c r="D172" s="102"/>
      <c r="E172" s="102"/>
      <c r="F172" s="91">
        <f>F25</f>
        <v>-174217</v>
      </c>
      <c r="G172" s="91">
        <f>-G171*(F170+G170)/2</f>
        <v>-149796.04400000002</v>
      </c>
      <c r="H172" s="91">
        <f>-H171*(G170+H170)/2</f>
        <v>-148201.85200000001</v>
      </c>
      <c r="I172" s="91">
        <f>-I171*(H170+I170)/2</f>
        <v>-146607.66</v>
      </c>
      <c r="J172" s="91">
        <f>-J171*(I170+J170)/2</f>
        <v>-145013.46800000002</v>
      </c>
      <c r="K172" s="91">
        <f>-K171*(J170+K170)/2</f>
        <v>-143419.27600000001</v>
      </c>
    </row>
    <row r="173" spans="3:11" ht="15.75" customHeight="1">
      <c r="C173" s="111"/>
      <c r="D173" s="102"/>
      <c r="E173" s="102"/>
      <c r="F173" s="102"/>
      <c r="G173" s="102"/>
      <c r="H173" s="102"/>
      <c r="I173" s="102"/>
      <c r="J173" s="102"/>
      <c r="K173" s="102"/>
    </row>
    <row r="174" spans="3:11" ht="15.75" customHeight="1">
      <c r="C174" s="137" t="s">
        <v>202</v>
      </c>
      <c r="E174" s="91"/>
      <c r="F174" s="91"/>
    </row>
    <row r="175" spans="3:11" ht="15.75" customHeight="1">
      <c r="C175" s="44" t="s">
        <v>203</v>
      </c>
      <c r="G175" s="43">
        <v>1.4999999999999999E-2</v>
      </c>
      <c r="H175" s="43">
        <v>1.4999999999999999E-2</v>
      </c>
      <c r="I175" s="43">
        <v>1.4999999999999999E-2</v>
      </c>
      <c r="J175" s="43">
        <v>1.4999999999999999E-2</v>
      </c>
      <c r="K175" s="43">
        <v>1.4999999999999999E-2</v>
      </c>
    </row>
    <row r="176" spans="3:11" ht="15.75" customHeight="1">
      <c r="C176" s="44" t="s">
        <v>73</v>
      </c>
      <c r="D176" s="91"/>
      <c r="E176" s="91"/>
      <c r="F176" s="91">
        <f>F24</f>
        <v>0</v>
      </c>
      <c r="G176" s="91">
        <f ca="1">G175*(F49+G49)/2</f>
        <v>6287.8852636340598</v>
      </c>
      <c r="H176" s="91">
        <f ca="1">H175*(G49+H49)/2</f>
        <v>10928.07802558898</v>
      </c>
      <c r="I176" s="91">
        <f ca="1">I175*(H49+I49)/2</f>
        <v>17202.77262232899</v>
      </c>
      <c r="J176" s="91">
        <f ca="1">J175*(I49+J49)/2</f>
        <v>25229.141198387326</v>
      </c>
      <c r="K176" s="91">
        <f ca="1">K175*(J49+K49)/2</f>
        <v>35032.363787538918</v>
      </c>
    </row>
  </sheetData>
  <mergeCells count="1">
    <mergeCell ref="G121:K121"/>
  </mergeCells>
  <conditionalFormatting sqref="C41">
    <cfRule type="expression" dxfId="0" priority="2">
      <formula>#REF!=$C41</formula>
    </cfRule>
  </conditionalFormatting>
  <dataValidations count="2">
    <dataValidation type="list" allowBlank="1" showInputMessage="1" showErrorMessage="1" sqref="C3" xr:uid="{00000000-0002-0000-0B00-000000000000}">
      <formula1>"$ bns except per share,$ mm except per share,$ in thousands except per share"</formula1>
      <formula2>0</formula2>
    </dataValidation>
    <dataValidation type="list" allowBlank="1" showInputMessage="1" showErrorMessage="1" sqref="D7" xr:uid="{00000000-0002-0000-0B00-000001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Drivers</vt:lpstr>
      <vt:lpstr>Model</vt:lpstr>
      <vt:lpstr>Sources &amp; Uses</vt:lpstr>
      <vt:lpstr>vF</vt:lpstr>
      <vt:lpstr>vF (2)</vt:lpstr>
      <vt:lpstr>Backup</vt:lpstr>
      <vt:lpstr>vFixed</vt:lpstr>
      <vt:lpstr>vF with M&amp;A and Prepayment (2)</vt:lpstr>
      <vt:lpstr>vF with M&amp;A and Prepayment</vt:lpstr>
      <vt:lpstr>v3</vt:lpstr>
      <vt:lpstr>Sheet1</vt:lpstr>
      <vt:lpstr>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Zhenzhen Wu</dc:creator>
  <dc:description/>
  <cp:lastModifiedBy>Sanansh Garg</cp:lastModifiedBy>
  <cp:revision>0</cp:revision>
  <cp:lastPrinted>2026-04-27T13:24:16Z</cp:lastPrinted>
  <dcterms:created xsi:type="dcterms:W3CDTF">2026-04-08T00:12:42Z</dcterms:created>
  <dcterms:modified xsi:type="dcterms:W3CDTF">2026-04-28T14:15:23Z</dcterms:modified>
  <dc:language>en-US</dc:language>
</cp:coreProperties>
</file>